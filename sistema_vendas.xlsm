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Projetos Excel\"/>
    </mc:Choice>
  </mc:AlternateContent>
  <xr:revisionPtr revIDLastSave="0" documentId="13_ncr:1_{C365FB69-2FD7-4AF4-A338-1A5B13E8DB9E}" xr6:coauthVersionLast="47" xr6:coauthVersionMax="47" xr10:uidLastSave="{00000000-0000-0000-0000-000000000000}"/>
  <workbookProtection workbookAlgorithmName="SHA-512" workbookHashValue="FLQrWu0dS0oiQyD1TOirx40nl/mXPBaxi/duQ0Viq1O4hECFVSTM9lvnY/YtOV4powBnFZiOVhkY94k+bA1IgQ==" workbookSaltValue="+LerbQkabdla5weGje0LRw==" workbookSpinCount="100000" lockStructure="1"/>
  <bookViews>
    <workbookView xWindow="-120" yWindow="-120" windowWidth="20730" windowHeight="11160" activeTab="3" xr2:uid="{AB83B712-6515-41FF-81F5-94EB09169051}"/>
  </bookViews>
  <sheets>
    <sheet name="CAIXA" sheetId="1" r:id="rId1"/>
    <sheet name="CHECKOUT" sheetId="13" r:id="rId2"/>
    <sheet name="CONTROLE DE ESTOQUE" sheetId="7" r:id="rId3"/>
    <sheet name="PEDIDOS" sheetId="12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3" l="1"/>
  <c r="E14" i="13"/>
  <c r="E13" i="13"/>
  <c r="E12" i="13"/>
  <c r="E11" i="13"/>
  <c r="E10" i="13"/>
  <c r="E9" i="13"/>
  <c r="E8" i="13"/>
  <c r="E7" i="13"/>
  <c r="E6" i="13"/>
  <c r="D3" i="13"/>
  <c r="B2" i="13"/>
  <c r="D15" i="13"/>
  <c r="D14" i="13"/>
  <c r="D13" i="13"/>
  <c r="D12" i="13"/>
  <c r="D11" i="13"/>
  <c r="D10" i="13"/>
  <c r="D9" i="13"/>
  <c r="D8" i="13"/>
  <c r="D7" i="13"/>
  <c r="D6" i="13"/>
  <c r="C6" i="1"/>
  <c r="C7" i="1"/>
  <c r="C8" i="1"/>
  <c r="C9" i="1"/>
  <c r="C10" i="1"/>
  <c r="C11" i="1"/>
  <c r="C12" i="1"/>
  <c r="C13" i="1"/>
  <c r="C14" i="1"/>
  <c r="C5" i="1"/>
  <c r="F2" i="7"/>
  <c r="C2" i="7" s="1"/>
  <c r="E5" i="1" s="1"/>
  <c r="F11" i="7"/>
  <c r="C11" i="7" s="1"/>
  <c r="E14" i="1" s="1"/>
  <c r="F10" i="7"/>
  <c r="C10" i="7" s="1"/>
  <c r="E13" i="1" s="1"/>
  <c r="F9" i="7"/>
  <c r="C9" i="7" s="1"/>
  <c r="E12" i="1" s="1"/>
  <c r="F8" i="7"/>
  <c r="C8" i="7" s="1"/>
  <c r="E11" i="1" s="1"/>
  <c r="F7" i="7"/>
  <c r="C7" i="7" s="1"/>
  <c r="E10" i="1" s="1"/>
  <c r="F3" i="7"/>
  <c r="C3" i="7" s="1"/>
  <c r="E6" i="1" s="1"/>
  <c r="F6" i="7"/>
  <c r="C6" i="7" s="1"/>
  <c r="E9" i="1" s="1"/>
  <c r="F5" i="7"/>
  <c r="C5" i="7" s="1"/>
  <c r="E8" i="1" s="1"/>
  <c r="F4" i="7"/>
  <c r="C4" i="7" s="1"/>
  <c r="E7" i="1" s="1"/>
  <c r="D15" i="1"/>
  <c r="E16" i="13" l="1"/>
  <c r="E15" i="1"/>
</calcChain>
</file>

<file path=xl/sharedStrings.xml><?xml version="1.0" encoding="utf-8"?>
<sst xmlns="http://schemas.openxmlformats.org/spreadsheetml/2006/main" count="1071" uniqueCount="38">
  <si>
    <t>CLIENTE</t>
  </si>
  <si>
    <t>PEDIDO</t>
  </si>
  <si>
    <t>CÓDIGO</t>
  </si>
  <si>
    <t>PRODUTO</t>
  </si>
  <si>
    <t>QTDE SOLICITADA</t>
  </si>
  <si>
    <t>SUBTOTAL</t>
  </si>
  <si>
    <t>TOTAL</t>
  </si>
  <si>
    <t>CODIGO DO PEDIDO</t>
  </si>
  <si>
    <t>STATUS ATENDIMENTO</t>
  </si>
  <si>
    <t>Código</t>
  </si>
  <si>
    <t>DESCRIÇÃO</t>
  </si>
  <si>
    <t>QTDE DISPONÍVEL</t>
  </si>
  <si>
    <t>VALOR</t>
  </si>
  <si>
    <t>QTDE INCIAL</t>
  </si>
  <si>
    <t>QTDE VENDIDA</t>
  </si>
  <si>
    <t>MILHO COZIDO + SUCO</t>
  </si>
  <si>
    <t>COXINHA + SUCO</t>
  </si>
  <si>
    <t>PASTEL + SUCO</t>
  </si>
  <si>
    <t>BOLO + SUCO</t>
  </si>
  <si>
    <t>CROISSANT DE BRÓCOLIS + SUCO</t>
  </si>
  <si>
    <t>CROISSANT DE PALMITO + SUCO</t>
  </si>
  <si>
    <t>PIZZA + SUCO</t>
  </si>
  <si>
    <t>CALDO + SUCO</t>
  </si>
  <si>
    <t>CROISSANT DE FRANGO + SUCO</t>
  </si>
  <si>
    <t>CROISSANT + SUCO</t>
  </si>
  <si>
    <t>CODIGO</t>
  </si>
  <si>
    <t>ATENDIDO</t>
  </si>
  <si>
    <t>QTDE I1</t>
  </si>
  <si>
    <t>QTDE I2</t>
  </si>
  <si>
    <t>QTDE I3</t>
  </si>
  <si>
    <t>QTDE I4</t>
  </si>
  <si>
    <t>QTDE I5</t>
  </si>
  <si>
    <t>QTDE I6</t>
  </si>
  <si>
    <t>QTDE I7</t>
  </si>
  <si>
    <t>QTDE I8</t>
  </si>
  <si>
    <t>QTDE I9</t>
  </si>
  <si>
    <t>QTDE I10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</si>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</sst>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6" tint="0.79998168889431442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16"/>
      <color theme="1"/>
      <name val="Arial"/>
      <family val="2"/>
    </font>
    <font>
      <sz val="28"/>
      <color theme="1"/>
      <name val="Arial"/>
      <family val="2"/>
    </font>
    <font>
      <sz val="26"/>
      <color theme="1"/>
      <name val="Arial"/>
      <family val="2"/>
    </font>
    <font>
      <b/>
      <sz val="36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Protection="1">
      <protection locked="0"/>
    </xf>
    <xf numFmtId="0" fontId="10" fillId="3" borderId="21" xfId="0" applyFont="1" applyFill="1" applyBorder="1" applyAlignment="1" applyProtection="1">
      <alignment horizontal="left"/>
      <protection locked="0"/>
    </xf>
    <xf numFmtId="0" fontId="9" fillId="3" borderId="9" xfId="0" applyFont="1" applyFill="1" applyBorder="1" applyAlignment="1" applyProtection="1">
      <alignment horizontal="center"/>
      <protection locked="0"/>
    </xf>
    <xf numFmtId="0" fontId="9" fillId="3" borderId="1" xfId="0" applyFont="1" applyFill="1" applyBorder="1" applyAlignment="1" applyProtection="1">
      <alignment horizontal="center"/>
      <protection locked="0"/>
    </xf>
    <xf numFmtId="0" fontId="9" fillId="3" borderId="5" xfId="0" applyFont="1" applyFill="1" applyBorder="1" applyAlignment="1" applyProtection="1">
      <alignment horizontal="center"/>
      <protection locked="0"/>
    </xf>
    <xf numFmtId="0" fontId="1" fillId="2" borderId="6" xfId="0" applyFont="1" applyFill="1" applyBorder="1"/>
    <xf numFmtId="0" fontId="2" fillId="7" borderId="0" xfId="0" applyFont="1" applyFill="1"/>
    <xf numFmtId="0" fontId="0" fillId="7" borderId="0" xfId="0" applyFill="1"/>
    <xf numFmtId="0" fontId="1" fillId="2" borderId="0" xfId="0" applyFont="1" applyFill="1"/>
    <xf numFmtId="0" fontId="10" fillId="5" borderId="21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left"/>
    </xf>
    <xf numFmtId="0" fontId="9" fillId="7" borderId="0" xfId="0" applyFont="1" applyFill="1"/>
    <xf numFmtId="0" fontId="0" fillId="5" borderId="12" xfId="0" applyFill="1" applyBorder="1"/>
    <xf numFmtId="0" fontId="9" fillId="6" borderId="13" xfId="0" applyFont="1" applyFill="1" applyBorder="1" applyAlignment="1">
      <alignment horizontal="center"/>
    </xf>
    <xf numFmtId="0" fontId="9" fillId="6" borderId="10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/>
    </xf>
    <xf numFmtId="0" fontId="0" fillId="5" borderId="24" xfId="0" applyFill="1" applyBorder="1"/>
    <xf numFmtId="0" fontId="1" fillId="2" borderId="11" xfId="0" applyFont="1" applyFill="1" applyBorder="1"/>
    <xf numFmtId="0" fontId="9" fillId="3" borderId="15" xfId="0" applyFont="1" applyFill="1" applyBorder="1" applyAlignment="1">
      <alignment horizontal="center"/>
    </xf>
    <xf numFmtId="0" fontId="9" fillId="3" borderId="9" xfId="0" applyFont="1" applyFill="1" applyBorder="1"/>
    <xf numFmtId="44" fontId="9" fillId="3" borderId="16" xfId="1" applyFont="1" applyFill="1" applyBorder="1" applyProtection="1"/>
    <xf numFmtId="0" fontId="9" fillId="3" borderId="17" xfId="0" applyFont="1" applyFill="1" applyBorder="1" applyAlignment="1">
      <alignment horizontal="center"/>
    </xf>
    <xf numFmtId="0" fontId="9" fillId="3" borderId="1" xfId="0" applyFont="1" applyFill="1" applyBorder="1"/>
    <xf numFmtId="0" fontId="9" fillId="3" borderId="1" xfId="0" applyFont="1" applyFill="1" applyBorder="1" applyAlignment="1">
      <alignment horizontal="center"/>
    </xf>
    <xf numFmtId="44" fontId="9" fillId="3" borderId="18" xfId="1" applyFont="1" applyFill="1" applyBorder="1" applyProtection="1"/>
    <xf numFmtId="0" fontId="9" fillId="3" borderId="19" xfId="0" applyFont="1" applyFill="1" applyBorder="1" applyAlignment="1">
      <alignment horizontal="center"/>
    </xf>
    <xf numFmtId="0" fontId="9" fillId="3" borderId="5" xfId="0" applyFont="1" applyFill="1" applyBorder="1"/>
    <xf numFmtId="44" fontId="9" fillId="3" borderId="20" xfId="1" applyFont="1" applyFill="1" applyBorder="1" applyProtection="1"/>
    <xf numFmtId="0" fontId="7" fillId="7" borderId="25" xfId="0" applyFont="1" applyFill="1" applyBorder="1"/>
    <xf numFmtId="0" fontId="15" fillId="7" borderId="2" xfId="0" applyFont="1" applyFill="1" applyBorder="1" applyAlignment="1">
      <alignment horizontal="right"/>
    </xf>
    <xf numFmtId="0" fontId="13" fillId="5" borderId="3" xfId="0" applyFont="1" applyFill="1" applyBorder="1" applyAlignment="1">
      <alignment horizontal="center"/>
    </xf>
    <xf numFmtId="44" fontId="14" fillId="5" borderId="8" xfId="1" applyFont="1" applyFill="1" applyBorder="1" applyProtection="1"/>
    <xf numFmtId="0" fontId="0" fillId="5" borderId="26" xfId="0" applyFill="1" applyBorder="1"/>
    <xf numFmtId="0" fontId="1" fillId="2" borderId="7" xfId="0" applyFont="1" applyFill="1" applyBorder="1"/>
    <xf numFmtId="0" fontId="12" fillId="9" borderId="1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/>
    </xf>
    <xf numFmtId="0" fontId="10" fillId="5" borderId="22" xfId="0" applyFont="1" applyFill="1" applyBorder="1" applyAlignment="1">
      <alignment horizontal="center"/>
    </xf>
    <xf numFmtId="0" fontId="2" fillId="7" borderId="23" xfId="0" applyFont="1" applyFill="1" applyBorder="1"/>
    <xf numFmtId="0" fontId="2" fillId="7" borderId="12" xfId="0" applyFont="1" applyFill="1" applyBorder="1"/>
    <xf numFmtId="0" fontId="9" fillId="6" borderId="1" xfId="0" applyFont="1" applyFill="1" applyBorder="1" applyAlignment="1">
      <alignment horizontal="center"/>
    </xf>
    <xf numFmtId="0" fontId="0" fillId="7" borderId="25" xfId="0" applyFill="1" applyBorder="1"/>
    <xf numFmtId="0" fontId="5" fillId="7" borderId="25" xfId="0" applyFont="1" applyFill="1" applyBorder="1" applyAlignment="1">
      <alignment horizontal="right"/>
    </xf>
    <xf numFmtId="0" fontId="11" fillId="5" borderId="28" xfId="0" applyFont="1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Protection="1"/>
    <xf numFmtId="0" fontId="9" fillId="4" borderId="1" xfId="0" applyFont="1" applyFill="1" applyBorder="1" applyAlignment="1">
      <alignment horizontal="center" vertical="center"/>
    </xf>
    <xf numFmtId="0" fontId="0" fillId="9" borderId="0" xfId="0" applyFill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/>
    <xf numFmtId="0" fontId="0" fillId="0" borderId="1" xfId="0" applyBorder="1"/>
    <xf numFmtId="0" fontId="9" fillId="0" borderId="1" xfId="0" applyFont="1" applyBorder="1" applyAlignment="1">
      <alignment horizontal="center"/>
    </xf>
    <xf numFmtId="0" fontId="8" fillId="5" borderId="22" xfId="0" applyFont="1" applyFill="1" applyBorder="1" applyAlignment="1">
      <alignment horizontal="center"/>
    </xf>
    <xf numFmtId="0" fontId="8" fillId="5" borderId="23" xfId="0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11">
    <dxf>
      <fill>
        <patternFill>
          <bgColor theme="9" tint="0.39994506668294322"/>
        </patternFill>
      </fill>
    </dxf>
    <dxf>
      <numFmt numFmtId="0" formatCode="General"/>
      <protection locked="1" hidden="0"/>
    </dxf>
    <dxf>
      <protection locked="0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HECKOUT!A1"/><Relationship Id="rId1" Type="http://schemas.openxmlformats.org/officeDocument/2006/relationships/hyperlink" Target="#'CONTROLE DE ESTOQUE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AIXA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AIXA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AIX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24653</xdr:colOff>
      <xdr:row>2</xdr:row>
      <xdr:rowOff>107578</xdr:rowOff>
    </xdr:from>
    <xdr:to>
      <xdr:col>8</xdr:col>
      <xdr:colOff>280147</xdr:colOff>
      <xdr:row>4</xdr:row>
      <xdr:rowOff>186019</xdr:rowOff>
    </xdr:to>
    <xdr:sp macro="" textlink="">
      <xdr:nvSpPr>
        <xdr:cNvPr id="8" name="Retângulo: Cantos Arredondado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A40050-300B-4127-8204-FDA29491B38E}"/>
            </a:ext>
          </a:extLst>
        </xdr:cNvPr>
        <xdr:cNvSpPr/>
      </xdr:nvSpPr>
      <xdr:spPr>
        <a:xfrm>
          <a:off x="12261477" y="567019"/>
          <a:ext cx="1264023" cy="57150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VISUALIZAR ESTOQUE</a:t>
          </a:r>
        </a:p>
      </xdr:txBody>
    </xdr:sp>
    <xdr:clientData/>
  </xdr:twoCellAnchor>
  <xdr:twoCellAnchor>
    <xdr:from>
      <xdr:col>6</xdr:col>
      <xdr:colOff>20171</xdr:colOff>
      <xdr:row>6</xdr:row>
      <xdr:rowOff>24655</xdr:rowOff>
    </xdr:from>
    <xdr:to>
      <xdr:col>8</xdr:col>
      <xdr:colOff>275665</xdr:colOff>
      <xdr:row>8</xdr:row>
      <xdr:rowOff>192743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50311D-2CA4-4382-893D-8765AD1A0138}"/>
            </a:ext>
          </a:extLst>
        </xdr:cNvPr>
        <xdr:cNvSpPr/>
      </xdr:nvSpPr>
      <xdr:spPr>
        <a:xfrm>
          <a:off x="12256995" y="1380567"/>
          <a:ext cx="1264023" cy="57150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CHECKOUT</a:t>
          </a:r>
        </a:p>
      </xdr:txBody>
    </xdr:sp>
    <xdr:clientData/>
  </xdr:twoCellAnchor>
  <xdr:twoCellAnchor>
    <xdr:from>
      <xdr:col>6</xdr:col>
      <xdr:colOff>26894</xdr:colOff>
      <xdr:row>10</xdr:row>
      <xdr:rowOff>20173</xdr:rowOff>
    </xdr:from>
    <xdr:to>
      <xdr:col>8</xdr:col>
      <xdr:colOff>282388</xdr:colOff>
      <xdr:row>12</xdr:row>
      <xdr:rowOff>188261</xdr:rowOff>
    </xdr:to>
    <xdr:sp macro="[0]!Macro16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D8A3CC2-68D8-453E-906A-8E8ADAE02004}"/>
            </a:ext>
          </a:extLst>
        </xdr:cNvPr>
        <xdr:cNvSpPr/>
      </xdr:nvSpPr>
      <xdr:spPr>
        <a:xfrm>
          <a:off x="12263718" y="2182908"/>
          <a:ext cx="1264023" cy="57150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ENVIAR PEDIDO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549087</xdr:colOff>
      <xdr:row>5</xdr:row>
      <xdr:rowOff>11205</xdr:rowOff>
    </xdr:from>
    <xdr:to>
      <xdr:col>1</xdr:col>
      <xdr:colOff>33617</xdr:colOff>
      <xdr:row>9</xdr:row>
      <xdr:rowOff>179293</xdr:rowOff>
    </xdr:to>
    <xdr:sp macro="[0]!Altera_statu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4901E4E-0858-1477-0014-225D63753883}"/>
            </a:ext>
          </a:extLst>
        </xdr:cNvPr>
        <xdr:cNvSpPr/>
      </xdr:nvSpPr>
      <xdr:spPr>
        <a:xfrm>
          <a:off x="549087" y="1434352"/>
          <a:ext cx="1848971" cy="97491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CONFIRMAR</a:t>
          </a:r>
          <a:r>
            <a:rPr lang="pt-B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ATENDIMENTO</a:t>
          </a:r>
          <a:endParaRPr lang="pt-BR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582706</xdr:colOff>
      <xdr:row>0</xdr:row>
      <xdr:rowOff>156883</xdr:rowOff>
    </xdr:from>
    <xdr:to>
      <xdr:col>4</xdr:col>
      <xdr:colOff>1846729</xdr:colOff>
      <xdr:row>2</xdr:row>
      <xdr:rowOff>11207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339F3-AC07-4739-9F7D-6B7D79E0FA72}"/>
            </a:ext>
          </a:extLst>
        </xdr:cNvPr>
        <xdr:cNvSpPr/>
      </xdr:nvSpPr>
      <xdr:spPr>
        <a:xfrm>
          <a:off x="11340353" y="156883"/>
          <a:ext cx="1264023" cy="57150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CAIXA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0</xdr:row>
      <xdr:rowOff>114300</xdr:rowOff>
    </xdr:from>
    <xdr:to>
      <xdr:col>8</xdr:col>
      <xdr:colOff>350184</xdr:colOff>
      <xdr:row>2</xdr:row>
      <xdr:rowOff>181535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20BED5-9662-45A4-8223-5514216BB296}"/>
            </a:ext>
          </a:extLst>
        </xdr:cNvPr>
        <xdr:cNvSpPr/>
      </xdr:nvSpPr>
      <xdr:spPr>
        <a:xfrm>
          <a:off x="9620250" y="114300"/>
          <a:ext cx="1255059" cy="448235"/>
        </a:xfrm>
        <a:prstGeom prst="round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CAIXA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291352</xdr:colOff>
      <xdr:row>0</xdr:row>
      <xdr:rowOff>44823</xdr:rowOff>
    </xdr:from>
    <xdr:to>
      <xdr:col>15</xdr:col>
      <xdr:colOff>336175</xdr:colOff>
      <xdr:row>0</xdr:row>
      <xdr:rowOff>493058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0769BB-0109-44D2-A97D-8612DC846975}"/>
            </a:ext>
          </a:extLst>
        </xdr:cNvPr>
        <xdr:cNvSpPr/>
      </xdr:nvSpPr>
      <xdr:spPr>
        <a:xfrm>
          <a:off x="12360087" y="44823"/>
          <a:ext cx="1255059" cy="448235"/>
        </a:xfrm>
        <a:prstGeom prst="round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CAIXA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D53B9A-1AA3-4C7E-BABC-1B109911CD50}" name="Tabela_PRODUTOS" displayName="Tabela_PRODUTOS" ref="A1:F11" totalsRowShown="0" headerRowDxfId="8" dataDxfId="7">
  <autoFilter ref="A1:F11" xr:uid="{E0D53B9A-1AA3-4C7E-BABC-1B109911CD50}"/>
  <tableColumns count="6">
    <tableColumn id="1" xr3:uid="{8B69772B-41AA-4FD3-8616-BF5E5AABA460}" name="Código" dataDxfId="6"/>
    <tableColumn id="2" xr3:uid="{919E8BB7-2D90-4BEE-A1A5-1488E3B3A502}" name="DESCRIÇÃO" dataDxfId="5"/>
    <tableColumn id="3" xr3:uid="{E75F149C-7FE1-42D6-A005-2A01DA959898}" name="QTDE DISPONÍVEL" dataDxfId="4">
      <calculatedColumnFormula>Tabela_PRODUTOS[[#This Row],[QTDE INCIAL]]-Tabela_PRODUTOS[[#This Row],[QTDE VENDIDA]]</calculatedColumnFormula>
    </tableColumn>
    <tableColumn id="4" xr3:uid="{AC528363-0905-48AD-9A5D-E7817D80D9A9}" name="VALOR" dataDxfId="3" dataCellStyle="Moeda"/>
    <tableColumn id="5" xr3:uid="{32A0F1B4-23C5-41A1-AE96-3338B1FB459D}" name="QTDE INCIAL" dataDxfId="2"/>
    <tableColumn id="6" xr3:uid="{BAAC1827-9878-4195-9699-8187D5FD5C1A}" name="QTDE VENDIDA" dataDxfId="1">
      <calculatedColumnFormula>SUM(PEDIDOS!$D:$D)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A887-F5D5-49F9-8692-3CD8D58DB0EA}">
  <sheetPr codeName="Planilha1">
    <tabColor theme="0" tint="-4.9989318521683403E-2"/>
  </sheetPr>
  <dimension ref="A1:L25"/>
  <sheetViews>
    <sheetView zoomScale="85" zoomScaleNormal="85" workbookViewId="0">
      <selection activeCell="C2" sqref="C2"/>
    </sheetView>
  </sheetViews>
  <sheetFormatPr defaultColWidth="9.140625" defaultRowHeight="15" x14ac:dyDescent="0.25"/>
  <cols>
    <col min="1" max="1" width="4.42578125" customWidth="1"/>
    <col min="2" max="2" width="14.7109375" customWidth="1"/>
    <col min="3" max="3" width="98.7109375" customWidth="1"/>
    <col min="4" max="4" width="33.140625" customWidth="1"/>
    <col min="5" max="5" width="27.28515625" customWidth="1"/>
    <col min="6" max="6" width="5.28515625" customWidth="1"/>
    <col min="8" max="8" width="6" customWidth="1"/>
    <col min="9" max="9" width="4.42578125" customWidth="1"/>
  </cols>
  <sheetData>
    <row r="1" spans="1:12" ht="16.5" thickBot="1" x14ac:dyDescent="0.3">
      <c r="A1" s="6"/>
      <c r="B1" s="7"/>
      <c r="C1" s="7"/>
      <c r="D1" s="7"/>
      <c r="E1" s="7"/>
      <c r="F1" s="8"/>
      <c r="G1" s="8"/>
      <c r="H1" s="8"/>
      <c r="I1" s="8"/>
      <c r="J1" s="8"/>
      <c r="K1" s="8"/>
      <c r="L1" s="8"/>
    </row>
    <row r="2" spans="1:12" ht="18.75" thickBot="1" x14ac:dyDescent="0.3">
      <c r="A2" s="9"/>
      <c r="B2" s="10" t="s">
        <v>0</v>
      </c>
      <c r="C2" s="2"/>
      <c r="D2" s="12"/>
      <c r="E2" s="12"/>
      <c r="F2" s="8"/>
      <c r="G2" s="8"/>
      <c r="H2" s="8"/>
      <c r="I2" s="8"/>
      <c r="J2" s="8"/>
      <c r="K2" s="8"/>
      <c r="L2" s="8"/>
    </row>
    <row r="3" spans="1:12" ht="24" thickBot="1" x14ac:dyDescent="0.4">
      <c r="A3" s="6"/>
      <c r="B3" s="53" t="s">
        <v>1</v>
      </c>
      <c r="C3" s="54"/>
      <c r="D3" s="54"/>
      <c r="E3" s="54"/>
      <c r="F3" s="13"/>
      <c r="G3" s="8"/>
      <c r="H3" s="8"/>
      <c r="I3" s="8"/>
      <c r="J3" s="8"/>
      <c r="K3" s="8"/>
      <c r="L3" s="8"/>
    </row>
    <row r="4" spans="1:12" ht="16.5" thickBot="1" x14ac:dyDescent="0.3">
      <c r="A4" s="9"/>
      <c r="B4" s="14" t="s">
        <v>2</v>
      </c>
      <c r="C4" s="15" t="s">
        <v>3</v>
      </c>
      <c r="D4" s="15" t="s">
        <v>4</v>
      </c>
      <c r="E4" s="16" t="s">
        <v>5</v>
      </c>
      <c r="F4" s="17"/>
      <c r="G4" s="8"/>
      <c r="H4" s="8"/>
      <c r="I4" s="8"/>
      <c r="J4" s="8"/>
      <c r="K4" s="8"/>
      <c r="L4" s="8"/>
    </row>
    <row r="5" spans="1:12" ht="15.75" x14ac:dyDescent="0.25">
      <c r="A5" s="18"/>
      <c r="B5" s="19">
        <v>1</v>
      </c>
      <c r="C5" s="20" t="str">
        <f>IF(VLOOKUP(B5,'CONTROLE DE ESTOQUE'!$A:$D,2,0)="","",VLOOKUP(B5,'CONTROLE DE ESTOQUE'!$A:$D,2,0))</f>
        <v>MILHO COZIDO + SUCO</v>
      </c>
      <c r="D5" s="3"/>
      <c r="E5" s="21" t="str">
        <f>IF(VLOOKUP(B5,Tabela_PRODUTOS[#All],3,0)=0,"ACABOU",IF(CAIXA!D5&gt;VLOOKUP(B5,Tabela_PRODUTOS[#All],3,0),"ESTOQUE BAIXO",IF(CAIXA!D5="","",VLOOKUP(B5,Tabela_PRODUTOS[#All],4,0)*D5)))</f>
        <v/>
      </c>
      <c r="F5" s="17"/>
      <c r="G5" s="8"/>
      <c r="H5" s="8"/>
      <c r="I5" s="8"/>
      <c r="J5" s="8"/>
      <c r="K5" s="8"/>
      <c r="L5" s="8"/>
    </row>
    <row r="6" spans="1:12" ht="15.75" x14ac:dyDescent="0.25">
      <c r="A6" s="18"/>
      <c r="B6" s="22">
        <v>2</v>
      </c>
      <c r="C6" s="23" t="str">
        <f>IF(VLOOKUP(B6,'CONTROLE DE ESTOQUE'!$A:$D,2,0)="","",VLOOKUP(B6,'CONTROLE DE ESTOQUE'!$A:$D,2,0))</f>
        <v>COXINHA + SUCO</v>
      </c>
      <c r="D6" s="4"/>
      <c r="E6" s="25" t="str">
        <f>IF(VLOOKUP(B6,Tabela_PRODUTOS[#All],3,0)=0,"ACABOU",IF(CAIXA!D6&gt;VLOOKUP(B6,Tabela_PRODUTOS[#All],3,0),"ESTOQUE BAIXO",IF(CAIXA!D6="","",VLOOKUP(B6,Tabela_PRODUTOS[#All],4,0)*D6)))</f>
        <v/>
      </c>
      <c r="F6" s="17"/>
      <c r="G6" s="8"/>
      <c r="H6" s="8"/>
      <c r="I6" s="8"/>
      <c r="J6" s="8"/>
      <c r="K6" s="8"/>
      <c r="L6" s="8"/>
    </row>
    <row r="7" spans="1:12" ht="15.75" x14ac:dyDescent="0.25">
      <c r="A7" s="18"/>
      <c r="B7" s="22">
        <v>3</v>
      </c>
      <c r="C7" s="23" t="str">
        <f>IF(VLOOKUP(B7,'CONTROLE DE ESTOQUE'!$A:$D,2,0)="","",VLOOKUP(B7,'CONTROLE DE ESTOQUE'!$A:$D,2,0))</f>
        <v>PASTEL + SUCO</v>
      </c>
      <c r="D7" s="4"/>
      <c r="E7" s="25" t="str">
        <f>IF(VLOOKUP(B7,Tabela_PRODUTOS[#All],3,0)=0,"ACABOU",IF(CAIXA!D7&gt;VLOOKUP(B7,Tabela_PRODUTOS[#All],3,0),"ESTOQUE BAIXO",IF(CAIXA!D7="","",VLOOKUP(B7,Tabela_PRODUTOS[#All],4,0)*D7)))</f>
        <v/>
      </c>
      <c r="F7" s="17"/>
      <c r="G7" s="8"/>
      <c r="H7" s="8"/>
      <c r="I7" s="8"/>
      <c r="J7" s="8"/>
      <c r="K7" s="8"/>
      <c r="L7" s="8"/>
    </row>
    <row r="8" spans="1:12" ht="15.75" x14ac:dyDescent="0.25">
      <c r="A8" s="18"/>
      <c r="B8" s="22">
        <v>4</v>
      </c>
      <c r="C8" s="23" t="str">
        <f>IF(VLOOKUP(B8,'CONTROLE DE ESTOQUE'!$A:$D,2,0)="","",VLOOKUP(B8,'CONTROLE DE ESTOQUE'!$A:$D,2,0))</f>
        <v>BOLO + SUCO</v>
      </c>
      <c r="D8" s="4"/>
      <c r="E8" s="25" t="str">
        <f>IF(VLOOKUP(B8,Tabela_PRODUTOS[#All],3,0)=0,"ACABOU",IF(CAIXA!D8&gt;VLOOKUP(B8,Tabela_PRODUTOS[#All],3,0),"ESTOQUE BAIXO",IF(CAIXA!D8="","",VLOOKUP(B8,Tabela_PRODUTOS[#All],4,0)*D8)))</f>
        <v/>
      </c>
      <c r="F8" s="17"/>
      <c r="G8" s="8"/>
      <c r="H8" s="8"/>
      <c r="I8" s="8"/>
      <c r="J8" s="8"/>
      <c r="K8" s="8"/>
      <c r="L8" s="8"/>
    </row>
    <row r="9" spans="1:12" ht="15.75" x14ac:dyDescent="0.25">
      <c r="A9" s="18"/>
      <c r="B9" s="22">
        <v>5</v>
      </c>
      <c r="C9" s="23" t="str">
        <f>IF(VLOOKUP(B9,'CONTROLE DE ESTOQUE'!$A:$D,2,0)="","",VLOOKUP(B9,'CONTROLE DE ESTOQUE'!$A:$D,2,0))</f>
        <v>CROISSANT DE BRÓCOLIS + SUCO</v>
      </c>
      <c r="D9" s="4"/>
      <c r="E9" s="25" t="str">
        <f>IF(VLOOKUP(B9,Tabela_PRODUTOS[#All],3,0)=0,"ACABOU",IF(CAIXA!D9&gt;VLOOKUP(B9,Tabela_PRODUTOS[#All],3,0),"ESTOQUE BAIXO",IF(CAIXA!D9="","",VLOOKUP(B9,Tabela_PRODUTOS[#All],4,0)*D9)))</f>
        <v/>
      </c>
      <c r="F9" s="17"/>
      <c r="G9" s="8"/>
      <c r="H9" s="8"/>
      <c r="I9" s="8"/>
      <c r="J9" s="8"/>
      <c r="K9" s="8"/>
      <c r="L9" s="8"/>
    </row>
    <row r="10" spans="1:12" ht="15.75" x14ac:dyDescent="0.25">
      <c r="A10" s="18"/>
      <c r="B10" s="22">
        <v>6</v>
      </c>
      <c r="C10" s="23" t="str">
        <f>IF(VLOOKUP(B10,'CONTROLE DE ESTOQUE'!$A:$D,2,0)="","",VLOOKUP(B10,'CONTROLE DE ESTOQUE'!$A:$D,2,0))</f>
        <v>CROISSANT DE PALMITO + SUCO</v>
      </c>
      <c r="D10" s="4"/>
      <c r="E10" s="25" t="str">
        <f>IF(VLOOKUP(B10,Tabela_PRODUTOS[#All],3,0)=0,"ACABOU",IF(CAIXA!D10&gt;VLOOKUP(B10,Tabela_PRODUTOS[#All],3,0),"ESTOQUE BAIXO",IF(CAIXA!D10="","",VLOOKUP(B10,Tabela_PRODUTOS[#All],4,0)*D10)))</f>
        <v/>
      </c>
      <c r="F10" s="17"/>
      <c r="G10" s="8"/>
      <c r="H10" s="8"/>
      <c r="I10" s="8"/>
      <c r="J10" s="8"/>
      <c r="K10" s="8"/>
      <c r="L10" s="8"/>
    </row>
    <row r="11" spans="1:12" ht="15.75" x14ac:dyDescent="0.25">
      <c r="A11" s="18"/>
      <c r="B11" s="22">
        <v>7</v>
      </c>
      <c r="C11" s="23" t="str">
        <f>IF(VLOOKUP(B11,'CONTROLE DE ESTOQUE'!$A:$D,2,0)="","",VLOOKUP(B11,'CONTROLE DE ESTOQUE'!$A:$D,2,0))</f>
        <v>PIZZA + SUCO</v>
      </c>
      <c r="D11" s="4"/>
      <c r="E11" s="25" t="str">
        <f>IF(VLOOKUP(B11,Tabela_PRODUTOS[#All],3,0)=0,"ACABOU",IF(CAIXA!D11&gt;VLOOKUP(B11,Tabela_PRODUTOS[#All],3,0),"ESTOQUE BAIXO",IF(CAIXA!D11="","",VLOOKUP(B11,Tabela_PRODUTOS[#All],4,0)*D11)))</f>
        <v/>
      </c>
      <c r="F11" s="17"/>
      <c r="G11" s="8"/>
      <c r="H11" s="8"/>
      <c r="I11" s="8"/>
      <c r="J11" s="8"/>
      <c r="K11" s="8"/>
      <c r="L11" s="8"/>
    </row>
    <row r="12" spans="1:12" ht="15.75" x14ac:dyDescent="0.25">
      <c r="A12" s="18"/>
      <c r="B12" s="22">
        <v>8</v>
      </c>
      <c r="C12" s="23" t="str">
        <f>IF(VLOOKUP(B12,'CONTROLE DE ESTOQUE'!$A:$D,2,0)="","",VLOOKUP(B12,'CONTROLE DE ESTOQUE'!$A:$D,2,0))</f>
        <v>CALDO + SUCO</v>
      </c>
      <c r="D12" s="4"/>
      <c r="E12" s="25" t="str">
        <f>IF(VLOOKUP(B12,Tabela_PRODUTOS[#All],3,0)=0,"ACABOU",IF(CAIXA!D12&gt;VLOOKUP(B12,Tabela_PRODUTOS[#All],3,0),"ESTOQUE BAIXO",IF(CAIXA!D12="","",VLOOKUP(B12,Tabela_PRODUTOS[#All],4,0)*D12)))</f>
        <v/>
      </c>
      <c r="F12" s="17"/>
      <c r="G12" s="8"/>
      <c r="H12" s="8"/>
      <c r="I12" s="8"/>
      <c r="J12" s="8"/>
      <c r="K12" s="8"/>
      <c r="L12" s="8"/>
    </row>
    <row r="13" spans="1:12" ht="15.75" x14ac:dyDescent="0.25">
      <c r="A13" s="18"/>
      <c r="B13" s="22">
        <v>9</v>
      </c>
      <c r="C13" s="23" t="str">
        <f>IF(VLOOKUP(B13,'CONTROLE DE ESTOQUE'!$A:$D,2,0)="","",VLOOKUP(B13,'CONTROLE DE ESTOQUE'!$A:$D,2,0))</f>
        <v>CROISSANT DE FRANGO + SUCO</v>
      </c>
      <c r="D13" s="4"/>
      <c r="E13" s="25" t="str">
        <f>IF(VLOOKUP(B13,Tabela_PRODUTOS[#All],3,0)=0,"ACABOU",IF(CAIXA!D13&gt;VLOOKUP(B13,Tabela_PRODUTOS[#All],3,0),"ESTOQUE BAIXO",IF(CAIXA!D13="","",VLOOKUP(B13,Tabela_PRODUTOS[#All],4,0)*D13)))</f>
        <v/>
      </c>
      <c r="F13" s="17"/>
      <c r="G13" s="8"/>
      <c r="H13" s="8"/>
      <c r="I13" s="8"/>
      <c r="J13" s="8"/>
      <c r="K13" s="8"/>
      <c r="L13" s="8"/>
    </row>
    <row r="14" spans="1:12" ht="16.5" thickBot="1" x14ac:dyDescent="0.3">
      <c r="A14" s="18"/>
      <c r="B14" s="26">
        <v>10</v>
      </c>
      <c r="C14" s="27" t="str">
        <f>IF(VLOOKUP(B14,'CONTROLE DE ESTOQUE'!$A:$D,2,0)="","",VLOOKUP(B14,'CONTROLE DE ESTOQUE'!$A:$D,2,0))</f>
        <v>CROISSANT + SUCO</v>
      </c>
      <c r="D14" s="5"/>
      <c r="E14" s="28" t="str">
        <f>IF(VLOOKUP(B14,Tabela_PRODUTOS[#All],3,0)=0,"ACABOU",IF(CAIXA!D14&gt;VLOOKUP(B14,Tabela_PRODUTOS[#All],3,0),"ESTOQUE BAIXO",IF(CAIXA!D14="","",VLOOKUP(B14,Tabela_PRODUTOS[#All],4,0)*D14)))</f>
        <v/>
      </c>
      <c r="F14" s="17"/>
      <c r="G14" s="8"/>
      <c r="H14" s="8"/>
      <c r="I14" s="8"/>
      <c r="J14" s="8"/>
      <c r="K14" s="8"/>
      <c r="L14" s="8"/>
    </row>
    <row r="15" spans="1:12" ht="46.15" customHeight="1" thickBot="1" x14ac:dyDescent="0.65">
      <c r="A15" s="6"/>
      <c r="B15" s="29"/>
      <c r="C15" s="30" t="s">
        <v>6</v>
      </c>
      <c r="D15" s="31" t="str">
        <f>IF(SUM(D5:D14)=0,"",SUM(D5:D14))</f>
        <v/>
      </c>
      <c r="E15" s="32" t="str">
        <f>IF(SUM(E5:E14)=0,"",SUM(E5:E14))</f>
        <v/>
      </c>
      <c r="F15" s="33"/>
      <c r="G15" s="8"/>
      <c r="H15" s="8"/>
      <c r="I15" s="8"/>
      <c r="J15" s="8"/>
      <c r="K15" s="8"/>
      <c r="L15" s="8"/>
    </row>
    <row r="16" spans="1:12" x14ac:dyDescent="0.25">
      <c r="A16" s="6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</row>
    <row r="17" spans="1:12" x14ac:dyDescent="0.25">
      <c r="A17" s="6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5">
      <c r="A18" s="6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</row>
    <row r="19" spans="1:12" x14ac:dyDescent="0.25">
      <c r="A19" s="6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5">
      <c r="A20" s="6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1:12" x14ac:dyDescent="0.25">
      <c r="A21" s="6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5">
      <c r="A22" s="6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25">
      <c r="A23" s="6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5">
      <c r="A24" s="6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</row>
    <row r="25" spans="1:12" ht="15.75" thickBot="1" x14ac:dyDescent="0.3">
      <c r="A25" s="34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</sheetData>
  <sheetProtection algorithmName="SHA-512" hashValue="sIynY0nSFLCieQB7fld7NvAAyLKW2pxiBvAV8UloG5xXBvkGy4ayOcceYoca433wXLSxP+8gEuJYw3F8+RloUw==" saltValue="C+qR2O5vNu21rrZKTMAVZQ==" spinCount="100000" sheet="1" objects="1" scenarios="1" selectLockedCells="1"/>
  <mergeCells count="1">
    <mergeCell ref="B3:E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7CA00-9833-48C1-9165-7FB345711152}">
  <sheetPr codeName="Planilha2">
    <tabColor theme="9" tint="0.59999389629810485"/>
  </sheetPr>
  <dimension ref="A1:H24"/>
  <sheetViews>
    <sheetView zoomScale="85" zoomScaleNormal="85" workbookViewId="0">
      <selection activeCell="B1" sqref="B1"/>
    </sheetView>
  </sheetViews>
  <sheetFormatPr defaultColWidth="9.140625" defaultRowHeight="15" x14ac:dyDescent="0.25"/>
  <cols>
    <col min="1" max="1" width="40.85546875" customWidth="1"/>
    <col min="2" max="2" width="12.42578125" customWidth="1"/>
    <col min="3" max="3" width="14.7109375" customWidth="1"/>
    <col min="4" max="4" width="98.7109375" customWidth="1"/>
    <col min="5" max="5" width="33.140625" customWidth="1"/>
    <col min="6" max="6" width="5.5703125" customWidth="1"/>
    <col min="7" max="7" width="25.42578125" customWidth="1"/>
  </cols>
  <sheetData>
    <row r="1" spans="1:8" ht="32.25" customHeight="1" x14ac:dyDescent="0.25">
      <c r="A1" s="36" t="s">
        <v>7</v>
      </c>
      <c r="B1" s="35"/>
      <c r="C1" s="8"/>
      <c r="D1" s="8"/>
      <c r="E1" s="8"/>
      <c r="F1" s="8"/>
      <c r="G1" s="8"/>
      <c r="H1" s="8"/>
    </row>
    <row r="2" spans="1:8" ht="24" thickBot="1" x14ac:dyDescent="0.3">
      <c r="A2" s="36" t="s">
        <v>8</v>
      </c>
      <c r="B2" s="37" t="str">
        <f>IFERROR(VLOOKUP($B$1,PEDIDOS!$A:$M,3,0),"")</f>
        <v/>
      </c>
      <c r="C2" s="8"/>
      <c r="D2" s="8"/>
      <c r="E2" s="8"/>
      <c r="F2" s="8"/>
      <c r="G2" s="8"/>
      <c r="H2" s="8"/>
    </row>
    <row r="3" spans="1:8" ht="18.75" thickBot="1" x14ac:dyDescent="0.3">
      <c r="A3" s="8"/>
      <c r="B3" s="8"/>
      <c r="C3" s="38" t="s">
        <v>0</v>
      </c>
      <c r="D3" s="11" t="str">
        <f>IFERROR(IF(VLOOKUP(B1,PEDIDOS!$A:$M,2,0)="","",VLOOKUP(B1,PEDIDOS!$A:$M,2,0)),"")</f>
        <v/>
      </c>
      <c r="E3" s="39"/>
      <c r="F3" s="40"/>
      <c r="G3" s="8"/>
      <c r="H3" s="8"/>
    </row>
    <row r="4" spans="1:8" ht="23.25" x14ac:dyDescent="0.35">
      <c r="A4" s="8"/>
      <c r="B4" s="8"/>
      <c r="C4" s="55" t="s">
        <v>1</v>
      </c>
      <c r="D4" s="56"/>
      <c r="E4" s="56"/>
      <c r="F4" s="13"/>
      <c r="G4" s="8"/>
      <c r="H4" s="8"/>
    </row>
    <row r="5" spans="1:8" ht="15.75" x14ac:dyDescent="0.25">
      <c r="A5" s="8"/>
      <c r="B5" s="8"/>
      <c r="C5" s="41" t="s">
        <v>2</v>
      </c>
      <c r="D5" s="41" t="s">
        <v>3</v>
      </c>
      <c r="E5" s="41" t="s">
        <v>4</v>
      </c>
      <c r="F5" s="17"/>
      <c r="G5" s="8"/>
      <c r="H5" s="8"/>
    </row>
    <row r="6" spans="1:8" ht="15.75" x14ac:dyDescent="0.25">
      <c r="A6" s="8"/>
      <c r="B6" s="8"/>
      <c r="C6" s="24">
        <v>1</v>
      </c>
      <c r="D6" s="23" t="str">
        <f>IF(VLOOKUP(C6,'CONTROLE DE ESTOQUE'!$A:$D,2,0)="","",VLOOKUP(C6,'CONTROLE DE ESTOQUE'!$A:$D,2,0))</f>
        <v>MILHO COZIDO + SUCO</v>
      </c>
      <c r="E6" s="24" t="str">
        <f>IFERROR(IF(VLOOKUP($B$1,PEDIDOS!$A:$M,4,0)="","",VLOOKUP($B$1,PEDIDOS!$A:$M,4,0)),"")</f>
        <v/>
      </c>
      <c r="F6" s="17"/>
      <c r="G6" s="8"/>
      <c r="H6" s="8"/>
    </row>
    <row r="7" spans="1:8" ht="15.75" x14ac:dyDescent="0.25">
      <c r="A7" s="8"/>
      <c r="B7" s="8"/>
      <c r="C7" s="24">
        <v>2</v>
      </c>
      <c r="D7" s="23" t="str">
        <f>IF(VLOOKUP(C7,'CONTROLE DE ESTOQUE'!$A:$D,2,0)="","",VLOOKUP(C7,'CONTROLE DE ESTOQUE'!$A:$D,2,0))</f>
        <v>COXINHA + SUCO</v>
      </c>
      <c r="E7" s="24" t="str">
        <f>IFERROR(IF(VLOOKUP($B$1,PEDIDOS!$A:$M,5,0)="","",VLOOKUP($B$1,PEDIDOS!$A:$M,5,0)),"")</f>
        <v/>
      </c>
      <c r="F7" s="17"/>
      <c r="G7" s="8"/>
      <c r="H7" s="8"/>
    </row>
    <row r="8" spans="1:8" ht="15.75" x14ac:dyDescent="0.25">
      <c r="A8" s="8"/>
      <c r="B8" s="8"/>
      <c r="C8" s="24">
        <v>3</v>
      </c>
      <c r="D8" s="23" t="str">
        <f>IF(VLOOKUP(C8,'CONTROLE DE ESTOQUE'!$A:$D,2,0)="","",VLOOKUP(C8,'CONTROLE DE ESTOQUE'!$A:$D,2,0))</f>
        <v>PASTEL + SUCO</v>
      </c>
      <c r="E8" s="24" t="str">
        <f>IFERROR(IF(VLOOKUP($B$1,PEDIDOS!$A:$M,6,0)="","",VLOOKUP($B$1,PEDIDOS!$A:$M,6,0)),"")</f>
        <v/>
      </c>
      <c r="F8" s="17"/>
      <c r="G8" s="8"/>
      <c r="H8" s="8"/>
    </row>
    <row r="9" spans="1:8" ht="15.75" x14ac:dyDescent="0.25">
      <c r="A9" s="8"/>
      <c r="B9" s="8"/>
      <c r="C9" s="24">
        <v>4</v>
      </c>
      <c r="D9" s="23" t="str">
        <f>IF(VLOOKUP(C9,'CONTROLE DE ESTOQUE'!$A:$D,2,0)="","",VLOOKUP(C9,'CONTROLE DE ESTOQUE'!$A:$D,2,0))</f>
        <v>BOLO + SUCO</v>
      </c>
      <c r="E9" s="24" t="str">
        <f>IFERROR(IF(VLOOKUP($B$1,PEDIDOS!$A:$M,7,0)="","",VLOOKUP($B$1,PEDIDOS!$A:$M,7,0)),"")</f>
        <v/>
      </c>
      <c r="F9" s="17"/>
      <c r="G9" s="8"/>
      <c r="H9" s="8"/>
    </row>
    <row r="10" spans="1:8" ht="15.75" x14ac:dyDescent="0.25">
      <c r="A10" s="8"/>
      <c r="B10" s="8"/>
      <c r="C10" s="24">
        <v>5</v>
      </c>
      <c r="D10" s="23" t="str">
        <f>IF(VLOOKUP(C10,'CONTROLE DE ESTOQUE'!$A:$D,2,0)="","",VLOOKUP(C10,'CONTROLE DE ESTOQUE'!$A:$D,2,0))</f>
        <v>CROISSANT DE BRÓCOLIS + SUCO</v>
      </c>
      <c r="E10" s="24" t="str">
        <f>IFERROR(IF(VLOOKUP($B$1,PEDIDOS!$A:$M,8,0)="","",VLOOKUP($B$1,PEDIDOS!$A:$M,8,0)),"")</f>
        <v/>
      </c>
      <c r="F10" s="17"/>
      <c r="G10" s="8"/>
      <c r="H10" s="8"/>
    </row>
    <row r="11" spans="1:8" ht="15.75" x14ac:dyDescent="0.25">
      <c r="A11" s="8"/>
      <c r="B11" s="8"/>
      <c r="C11" s="24">
        <v>6</v>
      </c>
      <c r="D11" s="23" t="str">
        <f>IF(VLOOKUP(C11,'CONTROLE DE ESTOQUE'!$A:$D,2,0)="","",VLOOKUP(C11,'CONTROLE DE ESTOQUE'!$A:$D,2,0))</f>
        <v>CROISSANT DE PALMITO + SUCO</v>
      </c>
      <c r="E11" s="24" t="str">
        <f>IFERROR(IF(VLOOKUP($B$1,PEDIDOS!$A:$M,9,0)="","",VLOOKUP($B$1,PEDIDOS!$A:$M,9,0)),"")</f>
        <v/>
      </c>
      <c r="F11" s="17"/>
      <c r="G11" s="8"/>
      <c r="H11" s="8"/>
    </row>
    <row r="12" spans="1:8" ht="15.75" x14ac:dyDescent="0.25">
      <c r="A12" s="8"/>
      <c r="B12" s="8"/>
      <c r="C12" s="24">
        <v>7</v>
      </c>
      <c r="D12" s="23" t="str">
        <f>IF(VLOOKUP(C12,'CONTROLE DE ESTOQUE'!$A:$D,2,0)="","",VLOOKUP(C12,'CONTROLE DE ESTOQUE'!$A:$D,2,0))</f>
        <v>PIZZA + SUCO</v>
      </c>
      <c r="E12" s="24" t="str">
        <f>IFERROR(IF(VLOOKUP($B$1,PEDIDOS!$A:$M,10,0)="","",VLOOKUP($B$1,PEDIDOS!$A:$M,10,0)),"")</f>
        <v/>
      </c>
      <c r="F12" s="17"/>
      <c r="G12" s="8"/>
      <c r="H12" s="8"/>
    </row>
    <row r="13" spans="1:8" ht="15.75" x14ac:dyDescent="0.25">
      <c r="A13" s="8"/>
      <c r="B13" s="8"/>
      <c r="C13" s="24">
        <v>8</v>
      </c>
      <c r="D13" s="23" t="str">
        <f>IF(VLOOKUP(C13,'CONTROLE DE ESTOQUE'!$A:$D,2,0)="","",VLOOKUP(C13,'CONTROLE DE ESTOQUE'!$A:$D,2,0))</f>
        <v>CALDO + SUCO</v>
      </c>
      <c r="E13" s="24" t="str">
        <f>IFERROR(IF(VLOOKUP($B$1,PEDIDOS!$A:$M,11,0)="","",VLOOKUP($B$1,PEDIDOS!$A:$M,11,0)),"")</f>
        <v/>
      </c>
      <c r="F13" s="17"/>
      <c r="G13" s="8"/>
      <c r="H13" s="8"/>
    </row>
    <row r="14" spans="1:8" ht="15.75" x14ac:dyDescent="0.25">
      <c r="A14" s="8"/>
      <c r="B14" s="8"/>
      <c r="C14" s="24">
        <v>9</v>
      </c>
      <c r="D14" s="23" t="str">
        <f>IF(VLOOKUP(C14,'CONTROLE DE ESTOQUE'!$A:$D,2,0)="","",VLOOKUP(C14,'CONTROLE DE ESTOQUE'!$A:$D,2,0))</f>
        <v>CROISSANT DE FRANGO + SUCO</v>
      </c>
      <c r="E14" s="24" t="str">
        <f>IFERROR(IF(VLOOKUP($B$1,PEDIDOS!$A:$M,12,0)="","",VLOOKUP($B$1,PEDIDOS!$A:$M,12,0)),"")</f>
        <v/>
      </c>
      <c r="F14" s="17"/>
      <c r="G14" s="8"/>
      <c r="H14" s="8"/>
    </row>
    <row r="15" spans="1:8" ht="15.75" x14ac:dyDescent="0.25">
      <c r="A15" s="8"/>
      <c r="B15" s="8"/>
      <c r="C15" s="24">
        <v>10</v>
      </c>
      <c r="D15" s="23" t="str">
        <f>IF(VLOOKUP(C15,'CONTROLE DE ESTOQUE'!$A:$D,2,0)="","",VLOOKUP(C15,'CONTROLE DE ESTOQUE'!$A:$D,2,0))</f>
        <v>CROISSANT + SUCO</v>
      </c>
      <c r="E15" s="24" t="str">
        <f>IFERROR(IF(VLOOKUP($B$1,PEDIDOS!$A:$M,13,0)="","",VLOOKUP($B$1,PEDIDOS!$A:$M,13,0)),"")</f>
        <v/>
      </c>
      <c r="F15" s="17"/>
      <c r="G15" s="8"/>
      <c r="H15" s="8"/>
    </row>
    <row r="16" spans="1:8" ht="47.25" thickBot="1" x14ac:dyDescent="0.75">
      <c r="A16" s="8"/>
      <c r="B16" s="8"/>
      <c r="C16" s="42"/>
      <c r="D16" s="43" t="s">
        <v>6</v>
      </c>
      <c r="E16" s="44" t="str">
        <f>IF(SUM(E6:E15)=0,"",SUM(E6:E15))</f>
        <v/>
      </c>
      <c r="F16" s="33"/>
      <c r="G16" s="8"/>
      <c r="H16" s="8"/>
    </row>
    <row r="17" spans="1:8" x14ac:dyDescent="0.25">
      <c r="A17" s="8"/>
      <c r="B17" s="8"/>
      <c r="C17" s="8"/>
      <c r="D17" s="8"/>
      <c r="E17" s="8"/>
      <c r="F17" s="8"/>
      <c r="G17" s="8"/>
      <c r="H17" s="8"/>
    </row>
    <row r="18" spans="1:8" x14ac:dyDescent="0.25">
      <c r="A18" s="8"/>
      <c r="B18" s="8"/>
      <c r="C18" s="8"/>
      <c r="D18" s="8"/>
      <c r="E18" s="8"/>
      <c r="F18" s="8"/>
      <c r="G18" s="8"/>
      <c r="H18" s="8"/>
    </row>
    <row r="19" spans="1:8" x14ac:dyDescent="0.25">
      <c r="A19" s="8"/>
      <c r="B19" s="8"/>
      <c r="C19" s="8"/>
      <c r="D19" s="8"/>
      <c r="E19" s="8"/>
      <c r="F19" s="8"/>
      <c r="G19" s="8"/>
      <c r="H19" s="8"/>
    </row>
    <row r="20" spans="1:8" x14ac:dyDescent="0.25">
      <c r="A20" s="8"/>
      <c r="B20" s="8"/>
      <c r="C20" s="8"/>
      <c r="D20" s="8"/>
      <c r="E20" s="8"/>
      <c r="F20" s="8"/>
      <c r="G20" s="8"/>
      <c r="H20" s="8"/>
    </row>
    <row r="21" spans="1:8" x14ac:dyDescent="0.25">
      <c r="A21" s="8"/>
      <c r="B21" s="8"/>
      <c r="C21" s="8"/>
      <c r="D21" s="8"/>
      <c r="E21" s="8"/>
      <c r="F21" s="8"/>
      <c r="G21" s="8"/>
      <c r="H21" s="8"/>
    </row>
    <row r="22" spans="1:8" x14ac:dyDescent="0.25">
      <c r="A22" s="8"/>
      <c r="B22" s="8"/>
      <c r="C22" s="8"/>
      <c r="D22" s="8"/>
      <c r="E22" s="8"/>
      <c r="F22" s="8"/>
      <c r="G22" s="8"/>
      <c r="H22" s="8"/>
    </row>
    <row r="23" spans="1:8" x14ac:dyDescent="0.25">
      <c r="A23" s="8"/>
      <c r="B23" s="8"/>
      <c r="C23" s="8"/>
      <c r="D23" s="8"/>
      <c r="E23" s="8"/>
      <c r="F23" s="8"/>
      <c r="G23" s="8"/>
      <c r="H23" s="8"/>
    </row>
    <row r="24" spans="1:8" x14ac:dyDescent="0.25">
      <c r="A24" s="8"/>
      <c r="B24" s="8"/>
      <c r="C24" s="8"/>
      <c r="D24" s="8"/>
      <c r="E24" s="8"/>
      <c r="F24" s="8"/>
      <c r="G24" s="8"/>
      <c r="H24" s="8"/>
    </row>
  </sheetData>
  <sheetProtection algorithmName="SHA-512" hashValue="I6dcxOA2rSU48389j+OpvICTVt+tSqV1d33LEkWN0jowNtBBpjw4nG9dcT+KD6ZsT+5p+spHiHOxpWFKmAwPLg==" saltValue="zcesfUczML7816Vby2suug==" spinCount="100000" sheet="1" objects="1" scenarios="1" selectLockedCells="1"/>
  <mergeCells count="1">
    <mergeCell ref="C4:E4"/>
  </mergeCells>
  <conditionalFormatting sqref="B2">
    <cfRule type="expression" dxfId="10" priority="2">
      <formula>$B$2="NÃO"</formula>
    </cfRule>
    <cfRule type="expression" dxfId="9" priority="1">
      <formula>$B$2="SIM"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5EC2-6E81-4ECA-B25B-460E1EF1B005}">
  <sheetPr codeName="Planilha4">
    <tabColor theme="5" tint="0.59999389629810485"/>
  </sheetPr>
  <dimension ref="A1:F11"/>
  <sheetViews>
    <sheetView zoomScaleNormal="100" workbookViewId="0">
      <selection activeCell="E3" sqref="E3"/>
    </sheetView>
  </sheetViews>
  <sheetFormatPr defaultColWidth="9.140625" defaultRowHeight="15" x14ac:dyDescent="0.25"/>
  <cols>
    <col min="1" max="1" width="9.140625" bestFit="1" customWidth="1"/>
    <col min="2" max="2" width="65.42578125" customWidth="1"/>
    <col min="3" max="3" width="23.7109375" customWidth="1"/>
    <col min="4" max="4" width="11.85546875" style="46" customWidth="1"/>
    <col min="5" max="5" width="15.28515625" customWidth="1"/>
    <col min="6" max="6" width="16.7109375" customWidth="1"/>
  </cols>
  <sheetData>
    <row r="1" spans="1:6" x14ac:dyDescent="0.25">
      <c r="A1" t="s">
        <v>9</v>
      </c>
      <c r="B1" s="45" t="s">
        <v>10</v>
      </c>
      <c r="C1" t="s">
        <v>11</v>
      </c>
      <c r="D1" s="46" t="s">
        <v>12</v>
      </c>
      <c r="E1" t="s">
        <v>13</v>
      </c>
      <c r="F1" t="s">
        <v>14</v>
      </c>
    </row>
    <row r="2" spans="1:6" x14ac:dyDescent="0.25">
      <c r="A2" s="45">
        <v>1</v>
      </c>
      <c r="B2" s="1" t="s">
        <v>15</v>
      </c>
      <c r="C2">
        <f>Tabela_PRODUTOS[[#This Row],[QTDE INCIAL]]-Tabela_PRODUTOS[[#This Row],[QTDE VENDIDA]]</f>
        <v>10</v>
      </c>
      <c r="D2" s="46">
        <v>10</v>
      </c>
      <c r="E2" s="1">
        <v>10</v>
      </c>
      <c r="F2">
        <f>SUM(PEDIDOS!$D:$D)</f>
        <v>0</v>
      </c>
    </row>
    <row r="3" spans="1:6" x14ac:dyDescent="0.25">
      <c r="A3" s="45">
        <v>2</v>
      </c>
      <c r="B3" s="1" t="s">
        <v>16</v>
      </c>
      <c r="C3">
        <f>Tabela_PRODUTOS[[#This Row],[QTDE INCIAL]]-Tabela_PRODUTOS[[#This Row],[QTDE VENDIDA]]</f>
        <v>10</v>
      </c>
      <c r="D3" s="46">
        <v>10</v>
      </c>
      <c r="E3" s="1">
        <v>10</v>
      </c>
      <c r="F3">
        <f>SUM(PEDIDOS!$E:$E)</f>
        <v>0</v>
      </c>
    </row>
    <row r="4" spans="1:6" x14ac:dyDescent="0.25">
      <c r="A4" s="45">
        <v>3</v>
      </c>
      <c r="B4" s="1" t="s">
        <v>17</v>
      </c>
      <c r="C4">
        <f>Tabela_PRODUTOS[[#This Row],[QTDE INCIAL]]-Tabela_PRODUTOS[[#This Row],[QTDE VENDIDA]]</f>
        <v>10</v>
      </c>
      <c r="D4" s="46">
        <v>10</v>
      </c>
      <c r="E4" s="1">
        <v>10</v>
      </c>
      <c r="F4">
        <f>SUM(PEDIDOS!$F:$F)</f>
        <v>0</v>
      </c>
    </row>
    <row r="5" spans="1:6" x14ac:dyDescent="0.25">
      <c r="A5" s="45">
        <v>4</v>
      </c>
      <c r="B5" s="1" t="s">
        <v>18</v>
      </c>
      <c r="C5">
        <f>Tabela_PRODUTOS[[#This Row],[QTDE INCIAL]]-Tabela_PRODUTOS[[#This Row],[QTDE VENDIDA]]</f>
        <v>10</v>
      </c>
      <c r="D5" s="46">
        <v>10</v>
      </c>
      <c r="E5" s="1">
        <v>10</v>
      </c>
      <c r="F5">
        <f>SUM(PEDIDOS!$G:$G)</f>
        <v>0</v>
      </c>
    </row>
    <row r="6" spans="1:6" x14ac:dyDescent="0.25">
      <c r="A6" s="45">
        <v>5</v>
      </c>
      <c r="B6" s="1" t="s">
        <v>19</v>
      </c>
      <c r="C6">
        <f>Tabela_PRODUTOS[[#This Row],[QTDE INCIAL]]-Tabela_PRODUTOS[[#This Row],[QTDE VENDIDA]]</f>
        <v>10</v>
      </c>
      <c r="D6" s="46">
        <v>10</v>
      </c>
      <c r="E6" s="1">
        <v>10</v>
      </c>
      <c r="F6">
        <f>SUM(PEDIDOS!$H:$H)</f>
        <v>0</v>
      </c>
    </row>
    <row r="7" spans="1:6" x14ac:dyDescent="0.25">
      <c r="A7" s="45">
        <v>6</v>
      </c>
      <c r="B7" s="1" t="s">
        <v>20</v>
      </c>
      <c r="C7">
        <f>Tabela_PRODUTOS[[#This Row],[QTDE INCIAL]]-Tabela_PRODUTOS[[#This Row],[QTDE VENDIDA]]</f>
        <v>10</v>
      </c>
      <c r="D7" s="46">
        <v>10</v>
      </c>
      <c r="E7" s="1">
        <v>10</v>
      </c>
      <c r="F7">
        <f>SUM(PEDIDOS!$I:$I)</f>
        <v>0</v>
      </c>
    </row>
    <row r="8" spans="1:6" x14ac:dyDescent="0.25">
      <c r="A8" s="45">
        <v>7</v>
      </c>
      <c r="B8" s="1" t="s">
        <v>21</v>
      </c>
      <c r="C8">
        <f>Tabela_PRODUTOS[[#This Row],[QTDE INCIAL]]-Tabela_PRODUTOS[[#This Row],[QTDE VENDIDA]]</f>
        <v>10</v>
      </c>
      <c r="D8" s="46">
        <v>10</v>
      </c>
      <c r="E8" s="1">
        <v>10</v>
      </c>
      <c r="F8">
        <f>SUM(PEDIDOS!$J:$J)</f>
        <v>0</v>
      </c>
    </row>
    <row r="9" spans="1:6" x14ac:dyDescent="0.25">
      <c r="A9" s="45">
        <v>8</v>
      </c>
      <c r="B9" s="1" t="s">
        <v>22</v>
      </c>
      <c r="C9">
        <f>Tabela_PRODUTOS[[#This Row],[QTDE INCIAL]]-Tabela_PRODUTOS[[#This Row],[QTDE VENDIDA]]</f>
        <v>10</v>
      </c>
      <c r="D9" s="46">
        <v>10</v>
      </c>
      <c r="E9" s="1">
        <v>10</v>
      </c>
      <c r="F9">
        <f>SUM(PEDIDOS!$K:$K)</f>
        <v>0</v>
      </c>
    </row>
    <row r="10" spans="1:6" x14ac:dyDescent="0.25">
      <c r="A10" s="45">
        <v>9</v>
      </c>
      <c r="B10" s="1" t="s">
        <v>23</v>
      </c>
      <c r="C10">
        <f>Tabela_PRODUTOS[[#This Row],[QTDE INCIAL]]-Tabela_PRODUTOS[[#This Row],[QTDE VENDIDA]]</f>
        <v>10</v>
      </c>
      <c r="D10" s="46">
        <v>10</v>
      </c>
      <c r="E10" s="1">
        <v>10</v>
      </c>
      <c r="F10">
        <f>SUM(PEDIDOS!$L:$L)</f>
        <v>0</v>
      </c>
    </row>
    <row r="11" spans="1:6" x14ac:dyDescent="0.25">
      <c r="A11" s="45">
        <v>10</v>
      </c>
      <c r="B11" s="1" t="s">
        <v>24</v>
      </c>
      <c r="C11">
        <f>Tabela_PRODUTOS[[#This Row],[QTDE INCIAL]]-Tabela_PRODUTOS[[#This Row],[QTDE VENDIDA]]</f>
        <v>10</v>
      </c>
      <c r="D11" s="46">
        <v>10</v>
      </c>
      <c r="E11" s="1">
        <v>10</v>
      </c>
      <c r="F11">
        <f>SUM(PEDIDOS!$M:$M)</f>
        <v>0</v>
      </c>
    </row>
  </sheetData>
  <sheetProtection algorithmName="SHA-512" hashValue="QEmAvB5A9oF/JzRnshzi28RjhDszDA91dIw9+LchMTkeggUHh8Wxke+cCtmFAG9JkX57Zt2Jqc8bW0SWBHEagA==" saltValue="vKVXZO7oxQiqirmNRcaZlA==" spinCount="100000" sheet="1" objects="1" scenarios="1" selectLockedCells="1"/>
  <pageMargins left="0.511811024" right="0.511811024" top="0.78740157499999996" bottom="0.78740157499999996" header="0.31496062000000002" footer="0.31496062000000002"/>
  <ignoredErrors>
    <ignoredError sqref="F3:F11" calculatedColumn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F465-87D9-4BD4-AE07-A8052C6AE4C4}">
  <sheetPr codeName="Planilha3">
    <tabColor theme="8" tint="0.59999389629810485"/>
  </sheetPr>
  <dimension ref="A1:P1028"/>
  <sheetViews>
    <sheetView tabSelected="1" zoomScale="85" zoomScaleNormal="85" workbookViewId="0">
      <pane ySplit="1" topLeftCell="A2" activePane="bottomLeft" state="frozen"/>
      <selection pane="bottomLeft" activeCell="C3" sqref="C3"/>
    </sheetView>
  </sheetViews>
  <sheetFormatPr defaultColWidth="9.140625" defaultRowHeight="15" x14ac:dyDescent="0.25"/>
  <cols>
    <col min="1" max="1" width="15.42578125" style="51" customWidth="1"/>
    <col min="2" max="2" width="48.28515625" style="51" customWidth="1"/>
    <col min="3" max="3" width="13.42578125" style="51" bestFit="1" customWidth="1"/>
    <col min="4" max="12" width="10.28515625" style="51" bestFit="1" customWidth="1"/>
    <col min="13" max="13" width="11.5703125" style="51" bestFit="1" customWidth="1"/>
  </cols>
  <sheetData>
    <row r="1" spans="1:16" ht="42.75" customHeight="1" x14ac:dyDescent="0.25">
      <c r="A1" s="47" t="s">
        <v>25</v>
      </c>
      <c r="B1" s="47" t="s">
        <v>0</v>
      </c>
      <c r="C1" s="47" t="s">
        <v>26</v>
      </c>
      <c r="D1" s="47" t="s">
        <v>27</v>
      </c>
      <c r="E1" s="47" t="s">
        <v>28</v>
      </c>
      <c r="F1" s="47" t="s">
        <v>29</v>
      </c>
      <c r="G1" s="47" t="s">
        <v>30</v>
      </c>
      <c r="H1" s="47" t="s">
        <v>31</v>
      </c>
      <c r="I1" s="47" t="s">
        <v>32</v>
      </c>
      <c r="J1" s="47" t="s">
        <v>33</v>
      </c>
      <c r="K1" s="47" t="s">
        <v>34</v>
      </c>
      <c r="L1" s="47" t="s">
        <v>35</v>
      </c>
      <c r="M1" s="47" t="s">
        <v>36</v>
      </c>
      <c r="N1" s="48"/>
      <c r="O1" s="48"/>
      <c r="P1" s="48"/>
    </row>
    <row r="2" spans="1:16" ht="18" x14ac:dyDescent="0.25">
      <c r="A2" s="49">
        <v>1</v>
      </c>
      <c r="B2" s="50"/>
      <c r="C2" s="51" t="s">
        <v>37</v>
      </c>
      <c r="D2" s="52"/>
      <c r="E2" s="52"/>
      <c r="F2" s="52"/>
      <c r="G2" s="52"/>
      <c r="H2" s="52"/>
      <c r="I2" s="52"/>
      <c r="J2" s="52"/>
      <c r="K2" s="52"/>
      <c r="L2" s="52"/>
      <c r="M2" s="52"/>
    </row>
    <row r="3" spans="1:16" ht="18" x14ac:dyDescent="0.25">
      <c r="A3" s="49">
        <v>2</v>
      </c>
      <c r="B3" s="50"/>
      <c r="C3" s="51" t="s">
        <v>37</v>
      </c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16" ht="15.75" x14ac:dyDescent="0.25">
      <c r="A4" s="49">
        <v>3</v>
      </c>
      <c r="C4" s="51" t="s">
        <v>37</v>
      </c>
    </row>
    <row r="5" spans="1:16" ht="15.75" x14ac:dyDescent="0.25">
      <c r="A5" s="49">
        <v>4</v>
      </c>
      <c r="C5" s="51" t="s">
        <v>37</v>
      </c>
    </row>
    <row r="6" spans="1:16" ht="15.75" x14ac:dyDescent="0.25">
      <c r="A6" s="49">
        <v>5</v>
      </c>
      <c r="C6" s="51" t="s">
        <v>37</v>
      </c>
    </row>
    <row r="7" spans="1:16" ht="15.75" x14ac:dyDescent="0.25">
      <c r="A7" s="49">
        <v>6</v>
      </c>
      <c r="C7" s="51" t="s">
        <v>37</v>
      </c>
    </row>
    <row r="8" spans="1:16" ht="15.75" x14ac:dyDescent="0.25">
      <c r="A8" s="49">
        <v>7</v>
      </c>
      <c r="C8" s="51" t="s">
        <v>37</v>
      </c>
    </row>
    <row r="9" spans="1:16" ht="15.75" x14ac:dyDescent="0.25">
      <c r="A9" s="49">
        <v>8</v>
      </c>
      <c r="C9" s="51" t="s">
        <v>37</v>
      </c>
    </row>
    <row r="10" spans="1:16" ht="15.75" x14ac:dyDescent="0.25">
      <c r="A10" s="49">
        <v>9</v>
      </c>
      <c r="C10" s="51" t="s">
        <v>37</v>
      </c>
    </row>
    <row r="11" spans="1:16" ht="15.75" x14ac:dyDescent="0.25">
      <c r="A11" s="49">
        <v>10</v>
      </c>
      <c r="C11" s="51" t="s">
        <v>37</v>
      </c>
    </row>
    <row r="12" spans="1:16" ht="15.75" x14ac:dyDescent="0.25">
      <c r="A12" s="49">
        <v>11</v>
      </c>
      <c r="C12" s="51" t="s">
        <v>37</v>
      </c>
    </row>
    <row r="13" spans="1:16" ht="15.75" x14ac:dyDescent="0.25">
      <c r="A13" s="49">
        <v>12</v>
      </c>
      <c r="C13" s="51" t="s">
        <v>37</v>
      </c>
    </row>
    <row r="14" spans="1:16" ht="15.75" x14ac:dyDescent="0.25">
      <c r="A14" s="49">
        <v>13</v>
      </c>
      <c r="C14" s="51" t="s">
        <v>37</v>
      </c>
    </row>
    <row r="15" spans="1:16" ht="15.75" x14ac:dyDescent="0.25">
      <c r="A15" s="49">
        <v>14</v>
      </c>
      <c r="C15" s="51" t="s">
        <v>37</v>
      </c>
    </row>
    <row r="16" spans="1:16" ht="15.75" x14ac:dyDescent="0.25">
      <c r="A16" s="49">
        <v>15</v>
      </c>
      <c r="C16" s="51" t="s">
        <v>37</v>
      </c>
    </row>
    <row r="17" spans="1:3" ht="15.75" x14ac:dyDescent="0.25">
      <c r="A17" s="49">
        <v>16</v>
      </c>
      <c r="C17" s="51" t="s">
        <v>37</v>
      </c>
    </row>
    <row r="18" spans="1:3" ht="15.75" x14ac:dyDescent="0.25">
      <c r="A18" s="49">
        <v>17</v>
      </c>
      <c r="C18" s="51" t="s">
        <v>37</v>
      </c>
    </row>
    <row r="19" spans="1:3" ht="15.75" x14ac:dyDescent="0.25">
      <c r="A19" s="49">
        <v>18</v>
      </c>
      <c r="C19" s="51" t="s">
        <v>37</v>
      </c>
    </row>
    <row r="20" spans="1:3" ht="15.75" x14ac:dyDescent="0.25">
      <c r="A20" s="49">
        <v>19</v>
      </c>
      <c r="C20" s="51" t="s">
        <v>37</v>
      </c>
    </row>
    <row r="21" spans="1:3" ht="15.75" x14ac:dyDescent="0.25">
      <c r="A21" s="49">
        <v>20</v>
      </c>
      <c r="C21" s="51" t="s">
        <v>37</v>
      </c>
    </row>
    <row r="22" spans="1:3" ht="15.75" x14ac:dyDescent="0.25">
      <c r="A22" s="49">
        <v>21</v>
      </c>
      <c r="C22" s="51" t="s">
        <v>37</v>
      </c>
    </row>
    <row r="23" spans="1:3" ht="15.75" x14ac:dyDescent="0.25">
      <c r="A23" s="49">
        <v>22</v>
      </c>
      <c r="C23" s="51" t="s">
        <v>37</v>
      </c>
    </row>
    <row r="24" spans="1:3" ht="15.75" x14ac:dyDescent="0.25">
      <c r="A24" s="49">
        <v>23</v>
      </c>
      <c r="C24" s="51" t="s">
        <v>37</v>
      </c>
    </row>
    <row r="25" spans="1:3" ht="15.75" x14ac:dyDescent="0.25">
      <c r="A25" s="49">
        <v>24</v>
      </c>
      <c r="C25" s="51" t="s">
        <v>37</v>
      </c>
    </row>
    <row r="26" spans="1:3" ht="15.75" x14ac:dyDescent="0.25">
      <c r="A26" s="49">
        <v>25</v>
      </c>
      <c r="C26" s="51" t="s">
        <v>37</v>
      </c>
    </row>
    <row r="27" spans="1:3" ht="15.75" x14ac:dyDescent="0.25">
      <c r="A27" s="49">
        <v>26</v>
      </c>
      <c r="C27" s="51" t="s">
        <v>37</v>
      </c>
    </row>
    <row r="28" spans="1:3" ht="15.75" x14ac:dyDescent="0.25">
      <c r="A28" s="49">
        <v>27</v>
      </c>
      <c r="C28" s="51" t="s">
        <v>37</v>
      </c>
    </row>
    <row r="29" spans="1:3" ht="15.75" x14ac:dyDescent="0.25">
      <c r="A29" s="49">
        <v>28</v>
      </c>
      <c r="C29" s="51" t="s">
        <v>37</v>
      </c>
    </row>
    <row r="30" spans="1:3" ht="15.75" x14ac:dyDescent="0.25">
      <c r="A30" s="49">
        <v>29</v>
      </c>
      <c r="C30" s="51" t="s">
        <v>37</v>
      </c>
    </row>
    <row r="31" spans="1:3" ht="15.75" x14ac:dyDescent="0.25">
      <c r="A31" s="49">
        <v>30</v>
      </c>
      <c r="C31" s="51" t="s">
        <v>37</v>
      </c>
    </row>
    <row r="32" spans="1:3" ht="15.75" x14ac:dyDescent="0.25">
      <c r="A32" s="49">
        <v>31</v>
      </c>
      <c r="C32" s="51" t="s">
        <v>37</v>
      </c>
    </row>
    <row r="33" spans="1:3" ht="15.75" x14ac:dyDescent="0.25">
      <c r="A33" s="49">
        <v>32</v>
      </c>
      <c r="C33" s="51" t="s">
        <v>37</v>
      </c>
    </row>
    <row r="34" spans="1:3" ht="15.75" x14ac:dyDescent="0.25">
      <c r="A34" s="49">
        <v>33</v>
      </c>
      <c r="C34" s="51" t="s">
        <v>37</v>
      </c>
    </row>
    <row r="35" spans="1:3" ht="15.75" x14ac:dyDescent="0.25">
      <c r="A35" s="49">
        <v>34</v>
      </c>
      <c r="C35" s="51" t="s">
        <v>37</v>
      </c>
    </row>
    <row r="36" spans="1:3" ht="15.75" x14ac:dyDescent="0.25">
      <c r="A36" s="49">
        <v>35</v>
      </c>
      <c r="C36" s="51" t="s">
        <v>37</v>
      </c>
    </row>
    <row r="37" spans="1:3" ht="15.75" x14ac:dyDescent="0.25">
      <c r="A37" s="49">
        <v>36</v>
      </c>
      <c r="C37" s="51" t="s">
        <v>37</v>
      </c>
    </row>
    <row r="38" spans="1:3" ht="15.75" x14ac:dyDescent="0.25">
      <c r="A38" s="49">
        <v>37</v>
      </c>
      <c r="C38" s="51" t="s">
        <v>37</v>
      </c>
    </row>
    <row r="39" spans="1:3" ht="15.75" x14ac:dyDescent="0.25">
      <c r="A39" s="49">
        <v>38</v>
      </c>
      <c r="C39" s="51" t="s">
        <v>37</v>
      </c>
    </row>
    <row r="40" spans="1:3" ht="15.75" x14ac:dyDescent="0.25">
      <c r="A40" s="49">
        <v>39</v>
      </c>
      <c r="C40" s="51" t="s">
        <v>37</v>
      </c>
    </row>
    <row r="41" spans="1:3" ht="15.75" x14ac:dyDescent="0.25">
      <c r="A41" s="49">
        <v>40</v>
      </c>
      <c r="C41" s="51" t="s">
        <v>37</v>
      </c>
    </row>
    <row r="42" spans="1:3" ht="15.75" x14ac:dyDescent="0.25">
      <c r="A42" s="49">
        <v>41</v>
      </c>
      <c r="C42" s="51" t="s">
        <v>37</v>
      </c>
    </row>
    <row r="43" spans="1:3" ht="15.75" x14ac:dyDescent="0.25">
      <c r="A43" s="49">
        <v>42</v>
      </c>
      <c r="C43" s="51" t="s">
        <v>37</v>
      </c>
    </row>
    <row r="44" spans="1:3" ht="15.75" x14ac:dyDescent="0.25">
      <c r="A44" s="49">
        <v>43</v>
      </c>
      <c r="C44" s="51" t="s">
        <v>37</v>
      </c>
    </row>
    <row r="45" spans="1:3" ht="15.75" x14ac:dyDescent="0.25">
      <c r="A45" s="49">
        <v>44</v>
      </c>
      <c r="C45" s="51" t="s">
        <v>37</v>
      </c>
    </row>
    <row r="46" spans="1:3" ht="15.75" x14ac:dyDescent="0.25">
      <c r="A46" s="49">
        <v>45</v>
      </c>
      <c r="C46" s="51" t="s">
        <v>37</v>
      </c>
    </row>
    <row r="47" spans="1:3" ht="15.75" x14ac:dyDescent="0.25">
      <c r="A47" s="49">
        <v>46</v>
      </c>
      <c r="C47" s="51" t="s">
        <v>37</v>
      </c>
    </row>
    <row r="48" spans="1:3" ht="15.75" x14ac:dyDescent="0.25">
      <c r="A48" s="49">
        <v>47</v>
      </c>
      <c r="C48" s="51" t="s">
        <v>37</v>
      </c>
    </row>
    <row r="49" spans="1:3" ht="15.75" x14ac:dyDescent="0.25">
      <c r="A49" s="49">
        <v>48</v>
      </c>
      <c r="C49" s="51" t="s">
        <v>37</v>
      </c>
    </row>
    <row r="50" spans="1:3" ht="15.75" x14ac:dyDescent="0.25">
      <c r="A50" s="49">
        <v>49</v>
      </c>
      <c r="C50" s="51" t="s">
        <v>37</v>
      </c>
    </row>
    <row r="51" spans="1:3" ht="15.75" x14ac:dyDescent="0.25">
      <c r="A51" s="49">
        <v>50</v>
      </c>
      <c r="C51" s="51" t="s">
        <v>37</v>
      </c>
    </row>
    <row r="52" spans="1:3" ht="15.75" x14ac:dyDescent="0.25">
      <c r="A52" s="49">
        <v>51</v>
      </c>
      <c r="C52" s="51" t="s">
        <v>37</v>
      </c>
    </row>
    <row r="53" spans="1:3" ht="15.75" x14ac:dyDescent="0.25">
      <c r="A53" s="49">
        <v>52</v>
      </c>
      <c r="C53" s="51" t="s">
        <v>37</v>
      </c>
    </row>
    <row r="54" spans="1:3" ht="15.75" x14ac:dyDescent="0.25">
      <c r="A54" s="49">
        <v>53</v>
      </c>
      <c r="C54" s="51" t="s">
        <v>37</v>
      </c>
    </row>
    <row r="55" spans="1:3" ht="15.75" x14ac:dyDescent="0.25">
      <c r="A55" s="49">
        <v>54</v>
      </c>
      <c r="C55" s="51" t="s">
        <v>37</v>
      </c>
    </row>
    <row r="56" spans="1:3" ht="15.75" x14ac:dyDescent="0.25">
      <c r="A56" s="49">
        <v>55</v>
      </c>
      <c r="C56" s="51" t="s">
        <v>37</v>
      </c>
    </row>
    <row r="57" spans="1:3" ht="15.75" x14ac:dyDescent="0.25">
      <c r="A57" s="49">
        <v>56</v>
      </c>
      <c r="C57" s="51" t="s">
        <v>37</v>
      </c>
    </row>
    <row r="58" spans="1:3" ht="15.75" x14ac:dyDescent="0.25">
      <c r="A58" s="49">
        <v>57</v>
      </c>
      <c r="C58" s="51" t="s">
        <v>37</v>
      </c>
    </row>
    <row r="59" spans="1:3" ht="15.75" x14ac:dyDescent="0.25">
      <c r="A59" s="49">
        <v>58</v>
      </c>
      <c r="C59" s="51" t="s">
        <v>37</v>
      </c>
    </row>
    <row r="60" spans="1:3" ht="15.75" x14ac:dyDescent="0.25">
      <c r="A60" s="49">
        <v>59</v>
      </c>
      <c r="C60" s="51" t="s">
        <v>37</v>
      </c>
    </row>
    <row r="61" spans="1:3" ht="15.75" x14ac:dyDescent="0.25">
      <c r="A61" s="49">
        <v>60</v>
      </c>
      <c r="C61" s="51" t="s">
        <v>37</v>
      </c>
    </row>
    <row r="62" spans="1:3" ht="15.75" x14ac:dyDescent="0.25">
      <c r="A62" s="49">
        <v>61</v>
      </c>
      <c r="C62" s="51" t="s">
        <v>37</v>
      </c>
    </row>
    <row r="63" spans="1:3" ht="15.75" x14ac:dyDescent="0.25">
      <c r="A63" s="49">
        <v>62</v>
      </c>
      <c r="C63" s="51" t="s">
        <v>37</v>
      </c>
    </row>
    <row r="64" spans="1:3" ht="15.75" x14ac:dyDescent="0.25">
      <c r="A64" s="49">
        <v>63</v>
      </c>
      <c r="C64" s="51" t="s">
        <v>37</v>
      </c>
    </row>
    <row r="65" spans="1:3" ht="15.75" x14ac:dyDescent="0.25">
      <c r="A65" s="49">
        <v>64</v>
      </c>
      <c r="C65" s="51" t="s">
        <v>37</v>
      </c>
    </row>
    <row r="66" spans="1:3" ht="15.75" x14ac:dyDescent="0.25">
      <c r="A66" s="49">
        <v>65</v>
      </c>
      <c r="C66" s="51" t="s">
        <v>37</v>
      </c>
    </row>
    <row r="67" spans="1:3" ht="15.75" x14ac:dyDescent="0.25">
      <c r="A67" s="49">
        <v>66</v>
      </c>
      <c r="C67" s="51" t="s">
        <v>37</v>
      </c>
    </row>
    <row r="68" spans="1:3" ht="15.75" x14ac:dyDescent="0.25">
      <c r="A68" s="49">
        <v>67</v>
      </c>
      <c r="C68" s="51" t="s">
        <v>37</v>
      </c>
    </row>
    <row r="69" spans="1:3" ht="15.75" x14ac:dyDescent="0.25">
      <c r="A69" s="49">
        <v>68</v>
      </c>
      <c r="C69" s="51" t="s">
        <v>37</v>
      </c>
    </row>
    <row r="70" spans="1:3" ht="15.75" x14ac:dyDescent="0.25">
      <c r="A70" s="49">
        <v>69</v>
      </c>
      <c r="C70" s="51" t="s">
        <v>37</v>
      </c>
    </row>
    <row r="71" spans="1:3" ht="15.75" x14ac:dyDescent="0.25">
      <c r="A71" s="49">
        <v>70</v>
      </c>
      <c r="C71" s="51" t="s">
        <v>37</v>
      </c>
    </row>
    <row r="72" spans="1:3" ht="15.75" x14ac:dyDescent="0.25">
      <c r="A72" s="49">
        <v>71</v>
      </c>
      <c r="C72" s="51" t="s">
        <v>37</v>
      </c>
    </row>
    <row r="73" spans="1:3" ht="15.75" x14ac:dyDescent="0.25">
      <c r="A73" s="49">
        <v>72</v>
      </c>
      <c r="C73" s="51" t="s">
        <v>37</v>
      </c>
    </row>
    <row r="74" spans="1:3" ht="15.75" x14ac:dyDescent="0.25">
      <c r="A74" s="49">
        <v>73</v>
      </c>
      <c r="C74" s="51" t="s">
        <v>37</v>
      </c>
    </row>
    <row r="75" spans="1:3" ht="15.75" x14ac:dyDescent="0.25">
      <c r="A75" s="49">
        <v>74</v>
      </c>
      <c r="C75" s="51" t="s">
        <v>37</v>
      </c>
    </row>
    <row r="76" spans="1:3" ht="15.75" x14ac:dyDescent="0.25">
      <c r="A76" s="49">
        <v>75</v>
      </c>
      <c r="C76" s="51" t="s">
        <v>37</v>
      </c>
    </row>
    <row r="77" spans="1:3" ht="15.75" x14ac:dyDescent="0.25">
      <c r="A77" s="49">
        <v>76</v>
      </c>
      <c r="C77" s="51" t="s">
        <v>37</v>
      </c>
    </row>
    <row r="78" spans="1:3" ht="15.75" x14ac:dyDescent="0.25">
      <c r="A78" s="49">
        <v>77</v>
      </c>
      <c r="C78" s="51" t="s">
        <v>37</v>
      </c>
    </row>
    <row r="79" spans="1:3" ht="15.75" x14ac:dyDescent="0.25">
      <c r="A79" s="49">
        <v>78</v>
      </c>
      <c r="C79" s="51" t="s">
        <v>37</v>
      </c>
    </row>
    <row r="80" spans="1:3" ht="15.75" x14ac:dyDescent="0.25">
      <c r="A80" s="49">
        <v>79</v>
      </c>
      <c r="C80" s="51" t="s">
        <v>37</v>
      </c>
    </row>
    <row r="81" spans="1:3" ht="15.75" x14ac:dyDescent="0.25">
      <c r="A81" s="49">
        <v>80</v>
      </c>
      <c r="C81" s="51" t="s">
        <v>37</v>
      </c>
    </row>
    <row r="82" spans="1:3" ht="15.75" x14ac:dyDescent="0.25">
      <c r="A82" s="49">
        <v>81</v>
      </c>
      <c r="C82" s="51" t="s">
        <v>37</v>
      </c>
    </row>
    <row r="83" spans="1:3" ht="15.75" x14ac:dyDescent="0.25">
      <c r="A83" s="49">
        <v>82</v>
      </c>
      <c r="C83" s="51" t="s">
        <v>37</v>
      </c>
    </row>
    <row r="84" spans="1:3" ht="15.75" x14ac:dyDescent="0.25">
      <c r="A84" s="49">
        <v>83</v>
      </c>
      <c r="C84" s="51" t="s">
        <v>37</v>
      </c>
    </row>
    <row r="85" spans="1:3" ht="15.75" x14ac:dyDescent="0.25">
      <c r="A85" s="49">
        <v>84</v>
      </c>
      <c r="C85" s="51" t="s">
        <v>37</v>
      </c>
    </row>
    <row r="86" spans="1:3" ht="15.75" x14ac:dyDescent="0.25">
      <c r="A86" s="49">
        <v>85</v>
      </c>
      <c r="C86" s="51" t="s">
        <v>37</v>
      </c>
    </row>
    <row r="87" spans="1:3" ht="15.75" x14ac:dyDescent="0.25">
      <c r="A87" s="49">
        <v>86</v>
      </c>
      <c r="C87" s="51" t="s">
        <v>37</v>
      </c>
    </row>
    <row r="88" spans="1:3" ht="15.75" x14ac:dyDescent="0.25">
      <c r="A88" s="49">
        <v>87</v>
      </c>
      <c r="C88" s="51" t="s">
        <v>37</v>
      </c>
    </row>
    <row r="89" spans="1:3" ht="15.75" x14ac:dyDescent="0.25">
      <c r="A89" s="49">
        <v>88</v>
      </c>
      <c r="C89" s="51" t="s">
        <v>37</v>
      </c>
    </row>
    <row r="90" spans="1:3" ht="15.75" x14ac:dyDescent="0.25">
      <c r="A90" s="49">
        <v>89</v>
      </c>
      <c r="C90" s="51" t="s">
        <v>37</v>
      </c>
    </row>
    <row r="91" spans="1:3" ht="15.75" x14ac:dyDescent="0.25">
      <c r="A91" s="49">
        <v>90</v>
      </c>
      <c r="C91" s="51" t="s">
        <v>37</v>
      </c>
    </row>
    <row r="92" spans="1:3" ht="15.75" x14ac:dyDescent="0.25">
      <c r="A92" s="49">
        <v>91</v>
      </c>
      <c r="C92" s="51" t="s">
        <v>37</v>
      </c>
    </row>
    <row r="93" spans="1:3" ht="15.75" x14ac:dyDescent="0.25">
      <c r="A93" s="49">
        <v>92</v>
      </c>
      <c r="C93" s="51" t="s">
        <v>37</v>
      </c>
    </row>
    <row r="94" spans="1:3" ht="15.75" x14ac:dyDescent="0.25">
      <c r="A94" s="49">
        <v>93</v>
      </c>
      <c r="C94" s="51" t="s">
        <v>37</v>
      </c>
    </row>
    <row r="95" spans="1:3" ht="15.75" x14ac:dyDescent="0.25">
      <c r="A95" s="49">
        <v>94</v>
      </c>
      <c r="C95" s="51" t="s">
        <v>37</v>
      </c>
    </row>
    <row r="96" spans="1:3" ht="15.75" x14ac:dyDescent="0.25">
      <c r="A96" s="49">
        <v>95</v>
      </c>
      <c r="C96" s="51" t="s">
        <v>37</v>
      </c>
    </row>
    <row r="97" spans="1:3" ht="15.75" x14ac:dyDescent="0.25">
      <c r="A97" s="49">
        <v>96</v>
      </c>
      <c r="C97" s="51" t="s">
        <v>37</v>
      </c>
    </row>
    <row r="98" spans="1:3" ht="15.75" x14ac:dyDescent="0.25">
      <c r="A98" s="49">
        <v>97</v>
      </c>
      <c r="C98" s="51" t="s">
        <v>37</v>
      </c>
    </row>
    <row r="99" spans="1:3" ht="15.75" x14ac:dyDescent="0.25">
      <c r="A99" s="49">
        <v>98</v>
      </c>
      <c r="C99" s="51" t="s">
        <v>37</v>
      </c>
    </row>
    <row r="100" spans="1:3" ht="15.75" x14ac:dyDescent="0.25">
      <c r="A100" s="49">
        <v>99</v>
      </c>
      <c r="C100" s="51" t="s">
        <v>37</v>
      </c>
    </row>
    <row r="101" spans="1:3" ht="15.75" x14ac:dyDescent="0.25">
      <c r="A101" s="49">
        <v>100</v>
      </c>
      <c r="C101" s="51" t="s">
        <v>37</v>
      </c>
    </row>
    <row r="102" spans="1:3" ht="15.75" x14ac:dyDescent="0.25">
      <c r="A102" s="49">
        <v>101</v>
      </c>
      <c r="C102" s="51" t="s">
        <v>37</v>
      </c>
    </row>
    <row r="103" spans="1:3" ht="15.75" x14ac:dyDescent="0.25">
      <c r="A103" s="49">
        <v>102</v>
      </c>
      <c r="C103" s="51" t="s">
        <v>37</v>
      </c>
    </row>
    <row r="104" spans="1:3" ht="15.75" x14ac:dyDescent="0.25">
      <c r="A104" s="49">
        <v>103</v>
      </c>
      <c r="C104" s="51" t="s">
        <v>37</v>
      </c>
    </row>
    <row r="105" spans="1:3" ht="15.75" x14ac:dyDescent="0.25">
      <c r="A105" s="49">
        <v>104</v>
      </c>
      <c r="C105" s="51" t="s">
        <v>37</v>
      </c>
    </row>
    <row r="106" spans="1:3" ht="15.75" x14ac:dyDescent="0.25">
      <c r="A106" s="49">
        <v>105</v>
      </c>
      <c r="C106" s="51" t="s">
        <v>37</v>
      </c>
    </row>
    <row r="107" spans="1:3" ht="15.75" x14ac:dyDescent="0.25">
      <c r="A107" s="49">
        <v>106</v>
      </c>
      <c r="C107" s="51" t="s">
        <v>37</v>
      </c>
    </row>
    <row r="108" spans="1:3" ht="15.75" x14ac:dyDescent="0.25">
      <c r="A108" s="49">
        <v>107</v>
      </c>
      <c r="C108" s="51" t="s">
        <v>37</v>
      </c>
    </row>
    <row r="109" spans="1:3" ht="15.75" x14ac:dyDescent="0.25">
      <c r="A109" s="49">
        <v>108</v>
      </c>
      <c r="C109" s="51" t="s">
        <v>37</v>
      </c>
    </row>
    <row r="110" spans="1:3" ht="15.75" x14ac:dyDescent="0.25">
      <c r="A110" s="49">
        <v>109</v>
      </c>
      <c r="C110" s="51" t="s">
        <v>37</v>
      </c>
    </row>
    <row r="111" spans="1:3" ht="15.75" x14ac:dyDescent="0.25">
      <c r="A111" s="49">
        <v>110</v>
      </c>
      <c r="C111" s="51" t="s">
        <v>37</v>
      </c>
    </row>
    <row r="112" spans="1:3" ht="15.75" x14ac:dyDescent="0.25">
      <c r="A112" s="49">
        <v>111</v>
      </c>
      <c r="C112" s="51" t="s">
        <v>37</v>
      </c>
    </row>
    <row r="113" spans="1:3" ht="15.75" x14ac:dyDescent="0.25">
      <c r="A113" s="49">
        <v>112</v>
      </c>
      <c r="C113" s="51" t="s">
        <v>37</v>
      </c>
    </row>
    <row r="114" spans="1:3" ht="15.75" x14ac:dyDescent="0.25">
      <c r="A114" s="49">
        <v>113</v>
      </c>
      <c r="C114" s="51" t="s">
        <v>37</v>
      </c>
    </row>
    <row r="115" spans="1:3" ht="15.75" x14ac:dyDescent="0.25">
      <c r="A115" s="49">
        <v>114</v>
      </c>
      <c r="C115" s="51" t="s">
        <v>37</v>
      </c>
    </row>
    <row r="116" spans="1:3" ht="15.75" x14ac:dyDescent="0.25">
      <c r="A116" s="49">
        <v>115</v>
      </c>
      <c r="C116" s="51" t="s">
        <v>37</v>
      </c>
    </row>
    <row r="117" spans="1:3" ht="15.75" x14ac:dyDescent="0.25">
      <c r="A117" s="49">
        <v>116</v>
      </c>
      <c r="C117" s="51" t="s">
        <v>37</v>
      </c>
    </row>
    <row r="118" spans="1:3" ht="15.75" x14ac:dyDescent="0.25">
      <c r="A118" s="49">
        <v>117</v>
      </c>
      <c r="C118" s="51" t="s">
        <v>37</v>
      </c>
    </row>
    <row r="119" spans="1:3" ht="15.75" x14ac:dyDescent="0.25">
      <c r="A119" s="49">
        <v>118</v>
      </c>
      <c r="C119" s="51" t="s">
        <v>37</v>
      </c>
    </row>
    <row r="120" spans="1:3" ht="15.75" x14ac:dyDescent="0.25">
      <c r="A120" s="49">
        <v>119</v>
      </c>
      <c r="C120" s="51" t="s">
        <v>37</v>
      </c>
    </row>
    <row r="121" spans="1:3" ht="15.75" x14ac:dyDescent="0.25">
      <c r="A121" s="49">
        <v>120</v>
      </c>
      <c r="C121" s="51" t="s">
        <v>37</v>
      </c>
    </row>
    <row r="122" spans="1:3" ht="15.75" x14ac:dyDescent="0.25">
      <c r="A122" s="49">
        <v>121</v>
      </c>
      <c r="C122" s="51" t="s">
        <v>37</v>
      </c>
    </row>
    <row r="123" spans="1:3" ht="15.75" x14ac:dyDescent="0.25">
      <c r="A123" s="49">
        <v>122</v>
      </c>
      <c r="C123" s="51" t="s">
        <v>37</v>
      </c>
    </row>
    <row r="124" spans="1:3" ht="15.75" x14ac:dyDescent="0.25">
      <c r="A124" s="49">
        <v>123</v>
      </c>
      <c r="C124" s="51" t="s">
        <v>37</v>
      </c>
    </row>
    <row r="125" spans="1:3" ht="15.75" x14ac:dyDescent="0.25">
      <c r="A125" s="49">
        <v>124</v>
      </c>
      <c r="C125" s="51" t="s">
        <v>37</v>
      </c>
    </row>
    <row r="126" spans="1:3" ht="15.75" x14ac:dyDescent="0.25">
      <c r="A126" s="49">
        <v>125</v>
      </c>
      <c r="C126" s="51" t="s">
        <v>37</v>
      </c>
    </row>
    <row r="127" spans="1:3" ht="15.75" x14ac:dyDescent="0.25">
      <c r="A127" s="49">
        <v>126</v>
      </c>
      <c r="C127" s="51" t="s">
        <v>37</v>
      </c>
    </row>
    <row r="128" spans="1:3" ht="15.75" x14ac:dyDescent="0.25">
      <c r="A128" s="49">
        <v>127</v>
      </c>
      <c r="C128" s="51" t="s">
        <v>37</v>
      </c>
    </row>
    <row r="129" spans="1:3" ht="15.75" x14ac:dyDescent="0.25">
      <c r="A129" s="49">
        <v>128</v>
      </c>
      <c r="C129" s="51" t="s">
        <v>37</v>
      </c>
    </row>
    <row r="130" spans="1:3" ht="15.75" x14ac:dyDescent="0.25">
      <c r="A130" s="49">
        <v>129</v>
      </c>
      <c r="C130" s="51" t="s">
        <v>37</v>
      </c>
    </row>
    <row r="131" spans="1:3" ht="15.75" x14ac:dyDescent="0.25">
      <c r="A131" s="49">
        <v>130</v>
      </c>
      <c r="C131" s="51" t="s">
        <v>37</v>
      </c>
    </row>
    <row r="132" spans="1:3" ht="15.75" x14ac:dyDescent="0.25">
      <c r="A132" s="49">
        <v>131</v>
      </c>
      <c r="C132" s="51" t="s">
        <v>37</v>
      </c>
    </row>
    <row r="133" spans="1:3" ht="15.75" x14ac:dyDescent="0.25">
      <c r="A133" s="49">
        <v>132</v>
      </c>
      <c r="C133" s="51" t="s">
        <v>37</v>
      </c>
    </row>
    <row r="134" spans="1:3" ht="15.75" x14ac:dyDescent="0.25">
      <c r="A134" s="49">
        <v>133</v>
      </c>
      <c r="C134" s="51" t="s">
        <v>37</v>
      </c>
    </row>
    <row r="135" spans="1:3" ht="15.75" x14ac:dyDescent="0.25">
      <c r="A135" s="49">
        <v>134</v>
      </c>
      <c r="C135" s="51" t="s">
        <v>37</v>
      </c>
    </row>
    <row r="136" spans="1:3" ht="15.75" x14ac:dyDescent="0.25">
      <c r="A136" s="49">
        <v>135</v>
      </c>
      <c r="C136" s="51" t="s">
        <v>37</v>
      </c>
    </row>
    <row r="137" spans="1:3" ht="15.75" x14ac:dyDescent="0.25">
      <c r="A137" s="49">
        <v>136</v>
      </c>
      <c r="C137" s="51" t="s">
        <v>37</v>
      </c>
    </row>
    <row r="138" spans="1:3" ht="15.75" x14ac:dyDescent="0.25">
      <c r="A138" s="49">
        <v>137</v>
      </c>
      <c r="C138" s="51" t="s">
        <v>37</v>
      </c>
    </row>
    <row r="139" spans="1:3" ht="15.75" x14ac:dyDescent="0.25">
      <c r="A139" s="49">
        <v>138</v>
      </c>
      <c r="C139" s="51" t="s">
        <v>37</v>
      </c>
    </row>
    <row r="140" spans="1:3" ht="15.75" x14ac:dyDescent="0.25">
      <c r="A140" s="49">
        <v>139</v>
      </c>
      <c r="C140" s="51" t="s">
        <v>37</v>
      </c>
    </row>
    <row r="141" spans="1:3" ht="15.75" x14ac:dyDescent="0.25">
      <c r="A141" s="49">
        <v>140</v>
      </c>
      <c r="C141" s="51" t="s">
        <v>37</v>
      </c>
    </row>
    <row r="142" spans="1:3" ht="15.75" x14ac:dyDescent="0.25">
      <c r="A142" s="49">
        <v>141</v>
      </c>
      <c r="C142" s="51" t="s">
        <v>37</v>
      </c>
    </row>
    <row r="143" spans="1:3" ht="15.75" x14ac:dyDescent="0.25">
      <c r="A143" s="49">
        <v>142</v>
      </c>
      <c r="C143" s="51" t="s">
        <v>37</v>
      </c>
    </row>
    <row r="144" spans="1:3" ht="15.75" x14ac:dyDescent="0.25">
      <c r="A144" s="49">
        <v>143</v>
      </c>
      <c r="C144" s="51" t="s">
        <v>37</v>
      </c>
    </row>
    <row r="145" spans="1:3" ht="15.75" x14ac:dyDescent="0.25">
      <c r="A145" s="49">
        <v>144</v>
      </c>
      <c r="C145" s="51" t="s">
        <v>37</v>
      </c>
    </row>
    <row r="146" spans="1:3" ht="15.75" x14ac:dyDescent="0.25">
      <c r="A146" s="49">
        <v>145</v>
      </c>
      <c r="C146" s="51" t="s">
        <v>37</v>
      </c>
    </row>
    <row r="147" spans="1:3" ht="15.75" x14ac:dyDescent="0.25">
      <c r="A147" s="49">
        <v>146</v>
      </c>
      <c r="C147" s="51" t="s">
        <v>37</v>
      </c>
    </row>
    <row r="148" spans="1:3" ht="15.75" x14ac:dyDescent="0.25">
      <c r="A148" s="49">
        <v>147</v>
      </c>
      <c r="C148" s="51" t="s">
        <v>37</v>
      </c>
    </row>
    <row r="149" spans="1:3" ht="15.75" x14ac:dyDescent="0.25">
      <c r="A149" s="49">
        <v>148</v>
      </c>
      <c r="C149" s="51" t="s">
        <v>37</v>
      </c>
    </row>
    <row r="150" spans="1:3" ht="15.75" x14ac:dyDescent="0.25">
      <c r="A150" s="49">
        <v>149</v>
      </c>
      <c r="C150" s="51" t="s">
        <v>37</v>
      </c>
    </row>
    <row r="151" spans="1:3" ht="15.75" x14ac:dyDescent="0.25">
      <c r="A151" s="49">
        <v>150</v>
      </c>
      <c r="C151" s="51" t="s">
        <v>37</v>
      </c>
    </row>
    <row r="152" spans="1:3" ht="15.75" x14ac:dyDescent="0.25">
      <c r="A152" s="49">
        <v>151</v>
      </c>
      <c r="C152" s="51" t="s">
        <v>37</v>
      </c>
    </row>
    <row r="153" spans="1:3" ht="15.75" x14ac:dyDescent="0.25">
      <c r="A153" s="49">
        <v>152</v>
      </c>
      <c r="C153" s="51" t="s">
        <v>37</v>
      </c>
    </row>
    <row r="154" spans="1:3" ht="15.75" x14ac:dyDescent="0.25">
      <c r="A154" s="49">
        <v>153</v>
      </c>
      <c r="C154" s="51" t="s">
        <v>37</v>
      </c>
    </row>
    <row r="155" spans="1:3" ht="15.75" x14ac:dyDescent="0.25">
      <c r="A155" s="49">
        <v>154</v>
      </c>
      <c r="C155" s="51" t="s">
        <v>37</v>
      </c>
    </row>
    <row r="156" spans="1:3" ht="15.75" x14ac:dyDescent="0.25">
      <c r="A156" s="49">
        <v>155</v>
      </c>
      <c r="C156" s="51" t="s">
        <v>37</v>
      </c>
    </row>
    <row r="157" spans="1:3" ht="15.75" x14ac:dyDescent="0.25">
      <c r="A157" s="49">
        <v>156</v>
      </c>
      <c r="C157" s="51" t="s">
        <v>37</v>
      </c>
    </row>
    <row r="158" spans="1:3" ht="15.75" x14ac:dyDescent="0.25">
      <c r="A158" s="49">
        <v>157</v>
      </c>
      <c r="C158" s="51" t="s">
        <v>37</v>
      </c>
    </row>
    <row r="159" spans="1:3" ht="15.75" x14ac:dyDescent="0.25">
      <c r="A159" s="49">
        <v>158</v>
      </c>
      <c r="C159" s="51" t="s">
        <v>37</v>
      </c>
    </row>
    <row r="160" spans="1:3" ht="15.75" x14ac:dyDescent="0.25">
      <c r="A160" s="49">
        <v>159</v>
      </c>
      <c r="C160" s="51" t="s">
        <v>37</v>
      </c>
    </row>
    <row r="161" spans="1:3" ht="15.75" x14ac:dyDescent="0.25">
      <c r="A161" s="49">
        <v>160</v>
      </c>
      <c r="C161" s="51" t="s">
        <v>37</v>
      </c>
    </row>
    <row r="162" spans="1:3" ht="15.75" x14ac:dyDescent="0.25">
      <c r="A162" s="49">
        <v>161</v>
      </c>
      <c r="C162" s="51" t="s">
        <v>37</v>
      </c>
    </row>
    <row r="163" spans="1:3" ht="15.75" x14ac:dyDescent="0.25">
      <c r="A163" s="49">
        <v>162</v>
      </c>
      <c r="C163" s="51" t="s">
        <v>37</v>
      </c>
    </row>
    <row r="164" spans="1:3" ht="15.75" x14ac:dyDescent="0.25">
      <c r="A164" s="49">
        <v>163</v>
      </c>
      <c r="C164" s="51" t="s">
        <v>37</v>
      </c>
    </row>
    <row r="165" spans="1:3" ht="15.75" x14ac:dyDescent="0.25">
      <c r="A165" s="49">
        <v>164</v>
      </c>
      <c r="C165" s="51" t="s">
        <v>37</v>
      </c>
    </row>
    <row r="166" spans="1:3" ht="15.75" x14ac:dyDescent="0.25">
      <c r="A166" s="49">
        <v>165</v>
      </c>
      <c r="C166" s="51" t="s">
        <v>37</v>
      </c>
    </row>
    <row r="167" spans="1:3" ht="15.75" x14ac:dyDescent="0.25">
      <c r="A167" s="49">
        <v>166</v>
      </c>
      <c r="C167" s="51" t="s">
        <v>37</v>
      </c>
    </row>
    <row r="168" spans="1:3" ht="15.75" x14ac:dyDescent="0.25">
      <c r="A168" s="49">
        <v>167</v>
      </c>
      <c r="C168" s="51" t="s">
        <v>37</v>
      </c>
    </row>
    <row r="169" spans="1:3" ht="15.75" x14ac:dyDescent="0.25">
      <c r="A169" s="49">
        <v>168</v>
      </c>
      <c r="C169" s="51" t="s">
        <v>37</v>
      </c>
    </row>
    <row r="170" spans="1:3" ht="15.75" x14ac:dyDescent="0.25">
      <c r="A170" s="49">
        <v>169</v>
      </c>
      <c r="C170" s="51" t="s">
        <v>37</v>
      </c>
    </row>
    <row r="171" spans="1:3" ht="15.75" x14ac:dyDescent="0.25">
      <c r="A171" s="49">
        <v>170</v>
      </c>
      <c r="C171" s="51" t="s">
        <v>37</v>
      </c>
    </row>
    <row r="172" spans="1:3" ht="15.75" x14ac:dyDescent="0.25">
      <c r="A172" s="49">
        <v>171</v>
      </c>
      <c r="C172" s="51" t="s">
        <v>37</v>
      </c>
    </row>
    <row r="173" spans="1:3" ht="15.75" x14ac:dyDescent="0.25">
      <c r="A173" s="49">
        <v>172</v>
      </c>
      <c r="C173" s="51" t="s">
        <v>37</v>
      </c>
    </row>
    <row r="174" spans="1:3" ht="15.75" x14ac:dyDescent="0.25">
      <c r="A174" s="49">
        <v>173</v>
      </c>
      <c r="C174" s="51" t="s">
        <v>37</v>
      </c>
    </row>
    <row r="175" spans="1:3" ht="15.75" x14ac:dyDescent="0.25">
      <c r="A175" s="49">
        <v>174</v>
      </c>
      <c r="C175" s="51" t="s">
        <v>37</v>
      </c>
    </row>
    <row r="176" spans="1:3" ht="15.75" x14ac:dyDescent="0.25">
      <c r="A176" s="49">
        <v>175</v>
      </c>
      <c r="C176" s="51" t="s">
        <v>37</v>
      </c>
    </row>
    <row r="177" spans="1:3" ht="15.75" x14ac:dyDescent="0.25">
      <c r="A177" s="49">
        <v>176</v>
      </c>
      <c r="C177" s="51" t="s">
        <v>37</v>
      </c>
    </row>
    <row r="178" spans="1:3" ht="15.75" x14ac:dyDescent="0.25">
      <c r="A178" s="49">
        <v>177</v>
      </c>
      <c r="C178" s="51" t="s">
        <v>37</v>
      </c>
    </row>
    <row r="179" spans="1:3" ht="15.75" x14ac:dyDescent="0.25">
      <c r="A179" s="49">
        <v>178</v>
      </c>
      <c r="C179" s="51" t="s">
        <v>37</v>
      </c>
    </row>
    <row r="180" spans="1:3" ht="15.75" x14ac:dyDescent="0.25">
      <c r="A180" s="49">
        <v>179</v>
      </c>
      <c r="C180" s="51" t="s">
        <v>37</v>
      </c>
    </row>
    <row r="181" spans="1:3" ht="15.75" x14ac:dyDescent="0.25">
      <c r="A181" s="49">
        <v>180</v>
      </c>
      <c r="C181" s="51" t="s">
        <v>37</v>
      </c>
    </row>
    <row r="182" spans="1:3" ht="15.75" x14ac:dyDescent="0.25">
      <c r="A182" s="49">
        <v>181</v>
      </c>
      <c r="C182" s="51" t="s">
        <v>37</v>
      </c>
    </row>
    <row r="183" spans="1:3" ht="15.75" x14ac:dyDescent="0.25">
      <c r="A183" s="49">
        <v>182</v>
      </c>
      <c r="C183" s="51" t="s">
        <v>37</v>
      </c>
    </row>
    <row r="184" spans="1:3" ht="15.75" x14ac:dyDescent="0.25">
      <c r="A184" s="49">
        <v>183</v>
      </c>
      <c r="C184" s="51" t="s">
        <v>37</v>
      </c>
    </row>
    <row r="185" spans="1:3" ht="15.75" x14ac:dyDescent="0.25">
      <c r="A185" s="49">
        <v>184</v>
      </c>
      <c r="C185" s="51" t="s">
        <v>37</v>
      </c>
    </row>
    <row r="186" spans="1:3" ht="15.75" x14ac:dyDescent="0.25">
      <c r="A186" s="49">
        <v>185</v>
      </c>
      <c r="C186" s="51" t="s">
        <v>37</v>
      </c>
    </row>
    <row r="187" spans="1:3" ht="15.75" x14ac:dyDescent="0.25">
      <c r="A187" s="49">
        <v>186</v>
      </c>
      <c r="C187" s="51" t="s">
        <v>37</v>
      </c>
    </row>
    <row r="188" spans="1:3" ht="15.75" x14ac:dyDescent="0.25">
      <c r="A188" s="49">
        <v>187</v>
      </c>
      <c r="C188" s="51" t="s">
        <v>37</v>
      </c>
    </row>
    <row r="189" spans="1:3" ht="15.75" x14ac:dyDescent="0.25">
      <c r="A189" s="49">
        <v>188</v>
      </c>
      <c r="C189" s="51" t="s">
        <v>37</v>
      </c>
    </row>
    <row r="190" spans="1:3" ht="15.75" x14ac:dyDescent="0.25">
      <c r="A190" s="49">
        <v>189</v>
      </c>
      <c r="C190" s="51" t="s">
        <v>37</v>
      </c>
    </row>
    <row r="191" spans="1:3" ht="15.75" x14ac:dyDescent="0.25">
      <c r="A191" s="49">
        <v>190</v>
      </c>
      <c r="C191" s="51" t="s">
        <v>37</v>
      </c>
    </row>
    <row r="192" spans="1:3" ht="15.75" x14ac:dyDescent="0.25">
      <c r="A192" s="49">
        <v>191</v>
      </c>
      <c r="C192" s="51" t="s">
        <v>37</v>
      </c>
    </row>
    <row r="193" spans="1:3" ht="15.75" x14ac:dyDescent="0.25">
      <c r="A193" s="49">
        <v>192</v>
      </c>
      <c r="C193" s="51" t="s">
        <v>37</v>
      </c>
    </row>
    <row r="194" spans="1:3" ht="15.75" x14ac:dyDescent="0.25">
      <c r="A194" s="49">
        <v>193</v>
      </c>
      <c r="C194" s="51" t="s">
        <v>37</v>
      </c>
    </row>
    <row r="195" spans="1:3" ht="15.75" x14ac:dyDescent="0.25">
      <c r="A195" s="49">
        <v>194</v>
      </c>
      <c r="C195" s="51" t="s">
        <v>37</v>
      </c>
    </row>
    <row r="196" spans="1:3" ht="15.75" x14ac:dyDescent="0.25">
      <c r="A196" s="49">
        <v>195</v>
      </c>
      <c r="C196" s="51" t="s">
        <v>37</v>
      </c>
    </row>
    <row r="197" spans="1:3" ht="15.75" x14ac:dyDescent="0.25">
      <c r="A197" s="49">
        <v>196</v>
      </c>
      <c r="C197" s="51" t="s">
        <v>37</v>
      </c>
    </row>
    <row r="198" spans="1:3" ht="15.75" x14ac:dyDescent="0.25">
      <c r="A198" s="49">
        <v>197</v>
      </c>
      <c r="C198" s="51" t="s">
        <v>37</v>
      </c>
    </row>
    <row r="199" spans="1:3" ht="15.75" x14ac:dyDescent="0.25">
      <c r="A199" s="49">
        <v>198</v>
      </c>
      <c r="C199" s="51" t="s">
        <v>37</v>
      </c>
    </row>
    <row r="200" spans="1:3" ht="15.75" x14ac:dyDescent="0.25">
      <c r="A200" s="49">
        <v>199</v>
      </c>
      <c r="C200" s="51" t="s">
        <v>37</v>
      </c>
    </row>
    <row r="201" spans="1:3" ht="15.75" x14ac:dyDescent="0.25">
      <c r="A201" s="49">
        <v>200</v>
      </c>
      <c r="C201" s="51" t="s">
        <v>37</v>
      </c>
    </row>
    <row r="202" spans="1:3" ht="15.75" x14ac:dyDescent="0.25">
      <c r="A202" s="49">
        <v>201</v>
      </c>
      <c r="C202" s="51" t="s">
        <v>37</v>
      </c>
    </row>
    <row r="203" spans="1:3" ht="15.75" x14ac:dyDescent="0.25">
      <c r="A203" s="49">
        <v>202</v>
      </c>
      <c r="C203" s="51" t="s">
        <v>37</v>
      </c>
    </row>
    <row r="204" spans="1:3" ht="15.75" x14ac:dyDescent="0.25">
      <c r="A204" s="49">
        <v>203</v>
      </c>
      <c r="C204" s="51" t="s">
        <v>37</v>
      </c>
    </row>
    <row r="205" spans="1:3" ht="15.75" x14ac:dyDescent="0.25">
      <c r="A205" s="49">
        <v>204</v>
      </c>
      <c r="C205" s="51" t="s">
        <v>37</v>
      </c>
    </row>
    <row r="206" spans="1:3" ht="15.75" x14ac:dyDescent="0.25">
      <c r="A206" s="49">
        <v>205</v>
      </c>
      <c r="C206" s="51" t="s">
        <v>37</v>
      </c>
    </row>
    <row r="207" spans="1:3" ht="15.75" x14ac:dyDescent="0.25">
      <c r="A207" s="49">
        <v>206</v>
      </c>
      <c r="C207" s="51" t="s">
        <v>37</v>
      </c>
    </row>
    <row r="208" spans="1:3" ht="15.75" x14ac:dyDescent="0.25">
      <c r="A208" s="49">
        <v>207</v>
      </c>
      <c r="C208" s="51" t="s">
        <v>37</v>
      </c>
    </row>
    <row r="209" spans="1:3" ht="15.75" x14ac:dyDescent="0.25">
      <c r="A209" s="49">
        <v>208</v>
      </c>
      <c r="C209" s="51" t="s">
        <v>37</v>
      </c>
    </row>
    <row r="210" spans="1:3" ht="15.75" x14ac:dyDescent="0.25">
      <c r="A210" s="49">
        <v>209</v>
      </c>
      <c r="C210" s="51" t="s">
        <v>37</v>
      </c>
    </row>
    <row r="211" spans="1:3" ht="15.75" x14ac:dyDescent="0.25">
      <c r="A211" s="49">
        <v>210</v>
      </c>
      <c r="C211" s="51" t="s">
        <v>37</v>
      </c>
    </row>
    <row r="212" spans="1:3" ht="15.75" x14ac:dyDescent="0.25">
      <c r="A212" s="49">
        <v>211</v>
      </c>
      <c r="C212" s="51" t="s">
        <v>37</v>
      </c>
    </row>
    <row r="213" spans="1:3" ht="15.75" x14ac:dyDescent="0.25">
      <c r="A213" s="49">
        <v>212</v>
      </c>
      <c r="C213" s="51" t="s">
        <v>37</v>
      </c>
    </row>
    <row r="214" spans="1:3" ht="15.75" x14ac:dyDescent="0.25">
      <c r="A214" s="49">
        <v>213</v>
      </c>
      <c r="C214" s="51" t="s">
        <v>37</v>
      </c>
    </row>
    <row r="215" spans="1:3" ht="15.75" x14ac:dyDescent="0.25">
      <c r="A215" s="49">
        <v>214</v>
      </c>
      <c r="C215" s="51" t="s">
        <v>37</v>
      </c>
    </row>
    <row r="216" spans="1:3" ht="15.75" x14ac:dyDescent="0.25">
      <c r="A216" s="49">
        <v>215</v>
      </c>
      <c r="C216" s="51" t="s">
        <v>37</v>
      </c>
    </row>
    <row r="217" spans="1:3" ht="15.75" x14ac:dyDescent="0.25">
      <c r="A217" s="49">
        <v>216</v>
      </c>
      <c r="C217" s="51" t="s">
        <v>37</v>
      </c>
    </row>
    <row r="218" spans="1:3" ht="15.75" x14ac:dyDescent="0.25">
      <c r="A218" s="49">
        <v>217</v>
      </c>
      <c r="C218" s="51" t="s">
        <v>37</v>
      </c>
    </row>
    <row r="219" spans="1:3" ht="15.75" x14ac:dyDescent="0.25">
      <c r="A219" s="49">
        <v>218</v>
      </c>
      <c r="C219" s="51" t="s">
        <v>37</v>
      </c>
    </row>
    <row r="220" spans="1:3" ht="15.75" x14ac:dyDescent="0.25">
      <c r="A220" s="49">
        <v>219</v>
      </c>
      <c r="C220" s="51" t="s">
        <v>37</v>
      </c>
    </row>
    <row r="221" spans="1:3" ht="15.75" x14ac:dyDescent="0.25">
      <c r="A221" s="49">
        <v>220</v>
      </c>
      <c r="C221" s="51" t="s">
        <v>37</v>
      </c>
    </row>
    <row r="222" spans="1:3" ht="15.75" x14ac:dyDescent="0.25">
      <c r="A222" s="49">
        <v>221</v>
      </c>
      <c r="C222" s="51" t="s">
        <v>37</v>
      </c>
    </row>
    <row r="223" spans="1:3" ht="15.75" x14ac:dyDescent="0.25">
      <c r="A223" s="49">
        <v>222</v>
      </c>
      <c r="C223" s="51" t="s">
        <v>37</v>
      </c>
    </row>
    <row r="224" spans="1:3" ht="15.75" x14ac:dyDescent="0.25">
      <c r="A224" s="49">
        <v>223</v>
      </c>
      <c r="C224" s="51" t="s">
        <v>37</v>
      </c>
    </row>
    <row r="225" spans="1:3" ht="15.75" x14ac:dyDescent="0.25">
      <c r="A225" s="49">
        <v>224</v>
      </c>
      <c r="C225" s="51" t="s">
        <v>37</v>
      </c>
    </row>
    <row r="226" spans="1:3" ht="15.75" x14ac:dyDescent="0.25">
      <c r="A226" s="49">
        <v>225</v>
      </c>
      <c r="C226" s="51" t="s">
        <v>37</v>
      </c>
    </row>
    <row r="227" spans="1:3" ht="15.75" x14ac:dyDescent="0.25">
      <c r="A227" s="49">
        <v>226</v>
      </c>
      <c r="C227" s="51" t="s">
        <v>37</v>
      </c>
    </row>
    <row r="228" spans="1:3" ht="15.75" x14ac:dyDescent="0.25">
      <c r="A228" s="49">
        <v>227</v>
      </c>
      <c r="C228" s="51" t="s">
        <v>37</v>
      </c>
    </row>
    <row r="229" spans="1:3" ht="15.75" x14ac:dyDescent="0.25">
      <c r="A229" s="49">
        <v>228</v>
      </c>
      <c r="C229" s="51" t="s">
        <v>37</v>
      </c>
    </row>
    <row r="230" spans="1:3" ht="15.75" x14ac:dyDescent="0.25">
      <c r="A230" s="49">
        <v>229</v>
      </c>
      <c r="C230" s="51" t="s">
        <v>37</v>
      </c>
    </row>
    <row r="231" spans="1:3" ht="15.75" x14ac:dyDescent="0.25">
      <c r="A231" s="49">
        <v>230</v>
      </c>
      <c r="C231" s="51" t="s">
        <v>37</v>
      </c>
    </row>
    <row r="232" spans="1:3" ht="15.75" x14ac:dyDescent="0.25">
      <c r="A232" s="49">
        <v>231</v>
      </c>
      <c r="C232" s="51" t="s">
        <v>37</v>
      </c>
    </row>
    <row r="233" spans="1:3" ht="15.75" x14ac:dyDescent="0.25">
      <c r="A233" s="49">
        <v>232</v>
      </c>
      <c r="C233" s="51" t="s">
        <v>37</v>
      </c>
    </row>
    <row r="234" spans="1:3" ht="15.75" x14ac:dyDescent="0.25">
      <c r="A234" s="49">
        <v>233</v>
      </c>
      <c r="C234" s="51" t="s">
        <v>37</v>
      </c>
    </row>
    <row r="235" spans="1:3" ht="15.75" x14ac:dyDescent="0.25">
      <c r="A235" s="49">
        <v>234</v>
      </c>
      <c r="C235" s="51" t="s">
        <v>37</v>
      </c>
    </row>
    <row r="236" spans="1:3" ht="15.75" x14ac:dyDescent="0.25">
      <c r="A236" s="49">
        <v>235</v>
      </c>
      <c r="C236" s="51" t="s">
        <v>37</v>
      </c>
    </row>
    <row r="237" spans="1:3" ht="15.75" x14ac:dyDescent="0.25">
      <c r="A237" s="49">
        <v>236</v>
      </c>
      <c r="C237" s="51" t="s">
        <v>37</v>
      </c>
    </row>
    <row r="238" spans="1:3" ht="15.75" x14ac:dyDescent="0.25">
      <c r="A238" s="49">
        <v>237</v>
      </c>
      <c r="C238" s="51" t="s">
        <v>37</v>
      </c>
    </row>
    <row r="239" spans="1:3" ht="15.75" x14ac:dyDescent="0.25">
      <c r="A239" s="49">
        <v>238</v>
      </c>
      <c r="C239" s="51" t="s">
        <v>37</v>
      </c>
    </row>
    <row r="240" spans="1:3" ht="15.75" x14ac:dyDescent="0.25">
      <c r="A240" s="49">
        <v>239</v>
      </c>
      <c r="C240" s="51" t="s">
        <v>37</v>
      </c>
    </row>
    <row r="241" spans="1:3" ht="15.75" x14ac:dyDescent="0.25">
      <c r="A241" s="49">
        <v>240</v>
      </c>
      <c r="C241" s="51" t="s">
        <v>37</v>
      </c>
    </row>
    <row r="242" spans="1:3" ht="15.75" x14ac:dyDescent="0.25">
      <c r="A242" s="49">
        <v>241</v>
      </c>
      <c r="C242" s="51" t="s">
        <v>37</v>
      </c>
    </row>
    <row r="243" spans="1:3" ht="15.75" x14ac:dyDescent="0.25">
      <c r="A243" s="49">
        <v>242</v>
      </c>
      <c r="C243" s="51" t="s">
        <v>37</v>
      </c>
    </row>
    <row r="244" spans="1:3" ht="15.75" x14ac:dyDescent="0.25">
      <c r="A244" s="49">
        <v>243</v>
      </c>
      <c r="C244" s="51" t="s">
        <v>37</v>
      </c>
    </row>
    <row r="245" spans="1:3" ht="15.75" x14ac:dyDescent="0.25">
      <c r="A245" s="49">
        <v>244</v>
      </c>
      <c r="C245" s="51" t="s">
        <v>37</v>
      </c>
    </row>
    <row r="246" spans="1:3" ht="15.75" x14ac:dyDescent="0.25">
      <c r="A246" s="49">
        <v>245</v>
      </c>
      <c r="C246" s="51" t="s">
        <v>37</v>
      </c>
    </row>
    <row r="247" spans="1:3" ht="15.75" x14ac:dyDescent="0.25">
      <c r="A247" s="49">
        <v>246</v>
      </c>
      <c r="C247" s="51" t="s">
        <v>37</v>
      </c>
    </row>
    <row r="248" spans="1:3" ht="15.75" x14ac:dyDescent="0.25">
      <c r="A248" s="49">
        <v>247</v>
      </c>
      <c r="C248" s="51" t="s">
        <v>37</v>
      </c>
    </row>
    <row r="249" spans="1:3" ht="15.75" x14ac:dyDescent="0.25">
      <c r="A249" s="49">
        <v>248</v>
      </c>
      <c r="C249" s="51" t="s">
        <v>37</v>
      </c>
    </row>
    <row r="250" spans="1:3" ht="15.75" x14ac:dyDescent="0.25">
      <c r="A250" s="49">
        <v>249</v>
      </c>
      <c r="C250" s="51" t="s">
        <v>37</v>
      </c>
    </row>
    <row r="251" spans="1:3" ht="15.75" x14ac:dyDescent="0.25">
      <c r="A251" s="49">
        <v>250</v>
      </c>
      <c r="C251" s="51" t="s">
        <v>37</v>
      </c>
    </row>
    <row r="252" spans="1:3" ht="15.75" x14ac:dyDescent="0.25">
      <c r="A252" s="49">
        <v>251</v>
      </c>
      <c r="C252" s="51" t="s">
        <v>37</v>
      </c>
    </row>
    <row r="253" spans="1:3" ht="15.75" x14ac:dyDescent="0.25">
      <c r="A253" s="49">
        <v>252</v>
      </c>
      <c r="C253" s="51" t="s">
        <v>37</v>
      </c>
    </row>
    <row r="254" spans="1:3" ht="15.75" x14ac:dyDescent="0.25">
      <c r="A254" s="49">
        <v>253</v>
      </c>
      <c r="C254" s="51" t="s">
        <v>37</v>
      </c>
    </row>
    <row r="255" spans="1:3" ht="15.75" x14ac:dyDescent="0.25">
      <c r="A255" s="49">
        <v>254</v>
      </c>
      <c r="C255" s="51" t="s">
        <v>37</v>
      </c>
    </row>
    <row r="256" spans="1:3" ht="15.75" x14ac:dyDescent="0.25">
      <c r="A256" s="49">
        <v>255</v>
      </c>
      <c r="C256" s="51" t="s">
        <v>37</v>
      </c>
    </row>
    <row r="257" spans="1:3" ht="15.75" x14ac:dyDescent="0.25">
      <c r="A257" s="49">
        <v>256</v>
      </c>
      <c r="C257" s="51" t="s">
        <v>37</v>
      </c>
    </row>
    <row r="258" spans="1:3" ht="15.75" x14ac:dyDescent="0.25">
      <c r="A258" s="49">
        <v>257</v>
      </c>
      <c r="C258" s="51" t="s">
        <v>37</v>
      </c>
    </row>
    <row r="259" spans="1:3" ht="15.75" x14ac:dyDescent="0.25">
      <c r="A259" s="49">
        <v>258</v>
      </c>
      <c r="C259" s="51" t="s">
        <v>37</v>
      </c>
    </row>
    <row r="260" spans="1:3" ht="15.75" x14ac:dyDescent="0.25">
      <c r="A260" s="49">
        <v>259</v>
      </c>
      <c r="C260" s="51" t="s">
        <v>37</v>
      </c>
    </row>
    <row r="261" spans="1:3" ht="15.75" x14ac:dyDescent="0.25">
      <c r="A261" s="49">
        <v>260</v>
      </c>
      <c r="C261" s="51" t="s">
        <v>37</v>
      </c>
    </row>
    <row r="262" spans="1:3" ht="15.75" x14ac:dyDescent="0.25">
      <c r="A262" s="49">
        <v>261</v>
      </c>
      <c r="C262" s="51" t="s">
        <v>37</v>
      </c>
    </row>
    <row r="263" spans="1:3" ht="15.75" x14ac:dyDescent="0.25">
      <c r="A263" s="49">
        <v>262</v>
      </c>
      <c r="C263" s="51" t="s">
        <v>37</v>
      </c>
    </row>
    <row r="264" spans="1:3" ht="15.75" x14ac:dyDescent="0.25">
      <c r="A264" s="49">
        <v>263</v>
      </c>
      <c r="C264" s="51" t="s">
        <v>37</v>
      </c>
    </row>
    <row r="265" spans="1:3" ht="15.75" x14ac:dyDescent="0.25">
      <c r="A265" s="49">
        <v>264</v>
      </c>
      <c r="C265" s="51" t="s">
        <v>37</v>
      </c>
    </row>
    <row r="266" spans="1:3" ht="15.75" x14ac:dyDescent="0.25">
      <c r="A266" s="49">
        <v>265</v>
      </c>
      <c r="C266" s="51" t="s">
        <v>37</v>
      </c>
    </row>
    <row r="267" spans="1:3" ht="15.75" x14ac:dyDescent="0.25">
      <c r="A267" s="49">
        <v>266</v>
      </c>
      <c r="C267" s="51" t="s">
        <v>37</v>
      </c>
    </row>
    <row r="268" spans="1:3" ht="15.75" x14ac:dyDescent="0.25">
      <c r="A268" s="49">
        <v>267</v>
      </c>
      <c r="C268" s="51" t="s">
        <v>37</v>
      </c>
    </row>
    <row r="269" spans="1:3" ht="15.75" x14ac:dyDescent="0.25">
      <c r="A269" s="49">
        <v>268</v>
      </c>
      <c r="C269" s="51" t="s">
        <v>37</v>
      </c>
    </row>
    <row r="270" spans="1:3" ht="15.75" x14ac:dyDescent="0.25">
      <c r="A270" s="49">
        <v>269</v>
      </c>
      <c r="C270" s="51" t="s">
        <v>37</v>
      </c>
    </row>
    <row r="271" spans="1:3" ht="15.75" x14ac:dyDescent="0.25">
      <c r="A271" s="49">
        <v>270</v>
      </c>
      <c r="C271" s="51" t="s">
        <v>37</v>
      </c>
    </row>
    <row r="272" spans="1:3" ht="15.75" x14ac:dyDescent="0.25">
      <c r="A272" s="49">
        <v>271</v>
      </c>
      <c r="C272" s="51" t="s">
        <v>37</v>
      </c>
    </row>
    <row r="273" spans="1:3" ht="15.75" x14ac:dyDescent="0.25">
      <c r="A273" s="49">
        <v>272</v>
      </c>
      <c r="C273" s="51" t="s">
        <v>37</v>
      </c>
    </row>
    <row r="274" spans="1:3" ht="15.75" x14ac:dyDescent="0.25">
      <c r="A274" s="49">
        <v>273</v>
      </c>
      <c r="C274" s="51" t="s">
        <v>37</v>
      </c>
    </row>
    <row r="275" spans="1:3" ht="15.75" x14ac:dyDescent="0.25">
      <c r="A275" s="49">
        <v>274</v>
      </c>
      <c r="C275" s="51" t="s">
        <v>37</v>
      </c>
    </row>
    <row r="276" spans="1:3" ht="15.75" x14ac:dyDescent="0.25">
      <c r="A276" s="49">
        <v>275</v>
      </c>
      <c r="C276" s="51" t="s">
        <v>37</v>
      </c>
    </row>
    <row r="277" spans="1:3" ht="15.75" x14ac:dyDescent="0.25">
      <c r="A277" s="49">
        <v>276</v>
      </c>
      <c r="C277" s="51" t="s">
        <v>37</v>
      </c>
    </row>
    <row r="278" spans="1:3" ht="15.75" x14ac:dyDescent="0.25">
      <c r="A278" s="49">
        <v>277</v>
      </c>
      <c r="C278" s="51" t="s">
        <v>37</v>
      </c>
    </row>
    <row r="279" spans="1:3" ht="15.75" x14ac:dyDescent="0.25">
      <c r="A279" s="49">
        <v>278</v>
      </c>
      <c r="C279" s="51" t="s">
        <v>37</v>
      </c>
    </row>
    <row r="280" spans="1:3" ht="15.75" x14ac:dyDescent="0.25">
      <c r="A280" s="49">
        <v>279</v>
      </c>
      <c r="C280" s="51" t="s">
        <v>37</v>
      </c>
    </row>
    <row r="281" spans="1:3" ht="15.75" x14ac:dyDescent="0.25">
      <c r="A281" s="49">
        <v>280</v>
      </c>
      <c r="C281" s="51" t="s">
        <v>37</v>
      </c>
    </row>
    <row r="282" spans="1:3" ht="15.75" x14ac:dyDescent="0.25">
      <c r="A282" s="49">
        <v>281</v>
      </c>
      <c r="C282" s="51" t="s">
        <v>37</v>
      </c>
    </row>
    <row r="283" spans="1:3" ht="15.75" x14ac:dyDescent="0.25">
      <c r="A283" s="49">
        <v>282</v>
      </c>
      <c r="C283" s="51" t="s">
        <v>37</v>
      </c>
    </row>
    <row r="284" spans="1:3" ht="15.75" x14ac:dyDescent="0.25">
      <c r="A284" s="49">
        <v>283</v>
      </c>
      <c r="C284" s="51" t="s">
        <v>37</v>
      </c>
    </row>
    <row r="285" spans="1:3" ht="15.75" x14ac:dyDescent="0.25">
      <c r="A285" s="49">
        <v>284</v>
      </c>
      <c r="C285" s="51" t="s">
        <v>37</v>
      </c>
    </row>
    <row r="286" spans="1:3" ht="15.75" x14ac:dyDescent="0.25">
      <c r="A286" s="49">
        <v>285</v>
      </c>
      <c r="C286" s="51" t="s">
        <v>37</v>
      </c>
    </row>
    <row r="287" spans="1:3" ht="15.75" x14ac:dyDescent="0.25">
      <c r="A287" s="49">
        <v>286</v>
      </c>
      <c r="C287" s="51" t="s">
        <v>37</v>
      </c>
    </row>
    <row r="288" spans="1:3" ht="15.75" x14ac:dyDescent="0.25">
      <c r="A288" s="49">
        <v>287</v>
      </c>
      <c r="C288" s="51" t="s">
        <v>37</v>
      </c>
    </row>
    <row r="289" spans="1:3" ht="15.75" x14ac:dyDescent="0.25">
      <c r="A289" s="49">
        <v>288</v>
      </c>
      <c r="C289" s="51" t="s">
        <v>37</v>
      </c>
    </row>
    <row r="290" spans="1:3" ht="15.75" x14ac:dyDescent="0.25">
      <c r="A290" s="49">
        <v>289</v>
      </c>
      <c r="C290" s="51" t="s">
        <v>37</v>
      </c>
    </row>
    <row r="291" spans="1:3" ht="15.75" x14ac:dyDescent="0.25">
      <c r="A291" s="49">
        <v>290</v>
      </c>
      <c r="C291" s="51" t="s">
        <v>37</v>
      </c>
    </row>
    <row r="292" spans="1:3" ht="15.75" x14ac:dyDescent="0.25">
      <c r="A292" s="49">
        <v>291</v>
      </c>
      <c r="C292" s="51" t="s">
        <v>37</v>
      </c>
    </row>
    <row r="293" spans="1:3" ht="15.75" x14ac:dyDescent="0.25">
      <c r="A293" s="49">
        <v>292</v>
      </c>
      <c r="C293" s="51" t="s">
        <v>37</v>
      </c>
    </row>
    <row r="294" spans="1:3" ht="15.75" x14ac:dyDescent="0.25">
      <c r="A294" s="49">
        <v>293</v>
      </c>
      <c r="C294" s="51" t="s">
        <v>37</v>
      </c>
    </row>
    <row r="295" spans="1:3" ht="15.75" x14ac:dyDescent="0.25">
      <c r="A295" s="49">
        <v>294</v>
      </c>
      <c r="C295" s="51" t="s">
        <v>37</v>
      </c>
    </row>
    <row r="296" spans="1:3" ht="15.75" x14ac:dyDescent="0.25">
      <c r="A296" s="49">
        <v>295</v>
      </c>
      <c r="C296" s="51" t="s">
        <v>37</v>
      </c>
    </row>
    <row r="297" spans="1:3" ht="15.75" x14ac:dyDescent="0.25">
      <c r="A297" s="49">
        <v>296</v>
      </c>
      <c r="C297" s="51" t="s">
        <v>37</v>
      </c>
    </row>
    <row r="298" spans="1:3" ht="15.75" x14ac:dyDescent="0.25">
      <c r="A298" s="49">
        <v>297</v>
      </c>
      <c r="C298" s="51" t="s">
        <v>37</v>
      </c>
    </row>
    <row r="299" spans="1:3" ht="15.75" x14ac:dyDescent="0.25">
      <c r="A299" s="49">
        <v>298</v>
      </c>
      <c r="C299" s="51" t="s">
        <v>37</v>
      </c>
    </row>
    <row r="300" spans="1:3" ht="15.75" x14ac:dyDescent="0.25">
      <c r="A300" s="49">
        <v>299</v>
      </c>
      <c r="C300" s="51" t="s">
        <v>37</v>
      </c>
    </row>
    <row r="301" spans="1:3" ht="15.75" x14ac:dyDescent="0.25">
      <c r="A301" s="49">
        <v>300</v>
      </c>
      <c r="C301" s="51" t="s">
        <v>37</v>
      </c>
    </row>
    <row r="302" spans="1:3" ht="15.75" x14ac:dyDescent="0.25">
      <c r="A302" s="49">
        <v>301</v>
      </c>
      <c r="C302" s="51" t="s">
        <v>37</v>
      </c>
    </row>
    <row r="303" spans="1:3" ht="15.75" x14ac:dyDescent="0.25">
      <c r="A303" s="49">
        <v>302</v>
      </c>
      <c r="C303" s="51" t="s">
        <v>37</v>
      </c>
    </row>
    <row r="304" spans="1:3" ht="15.75" x14ac:dyDescent="0.25">
      <c r="A304" s="49">
        <v>303</v>
      </c>
      <c r="C304" s="51" t="s">
        <v>37</v>
      </c>
    </row>
    <row r="305" spans="1:3" ht="15.75" x14ac:dyDescent="0.25">
      <c r="A305" s="49">
        <v>304</v>
      </c>
      <c r="C305" s="51" t="s">
        <v>37</v>
      </c>
    </row>
    <row r="306" spans="1:3" ht="15.75" x14ac:dyDescent="0.25">
      <c r="A306" s="49">
        <v>305</v>
      </c>
      <c r="C306" s="51" t="s">
        <v>37</v>
      </c>
    </row>
    <row r="307" spans="1:3" ht="15.75" x14ac:dyDescent="0.25">
      <c r="A307" s="49">
        <v>306</v>
      </c>
      <c r="C307" s="51" t="s">
        <v>37</v>
      </c>
    </row>
    <row r="308" spans="1:3" ht="15.75" x14ac:dyDescent="0.25">
      <c r="A308" s="49">
        <v>307</v>
      </c>
      <c r="C308" s="51" t="s">
        <v>37</v>
      </c>
    </row>
    <row r="309" spans="1:3" ht="15.75" x14ac:dyDescent="0.25">
      <c r="A309" s="49">
        <v>308</v>
      </c>
      <c r="C309" s="51" t="s">
        <v>37</v>
      </c>
    </row>
    <row r="310" spans="1:3" ht="15.75" x14ac:dyDescent="0.25">
      <c r="A310" s="49">
        <v>309</v>
      </c>
      <c r="C310" s="51" t="s">
        <v>37</v>
      </c>
    </row>
    <row r="311" spans="1:3" ht="15.75" x14ac:dyDescent="0.25">
      <c r="A311" s="49">
        <v>310</v>
      </c>
      <c r="C311" s="51" t="s">
        <v>37</v>
      </c>
    </row>
    <row r="312" spans="1:3" ht="15.75" x14ac:dyDescent="0.25">
      <c r="A312" s="49">
        <v>311</v>
      </c>
      <c r="C312" s="51" t="s">
        <v>37</v>
      </c>
    </row>
    <row r="313" spans="1:3" ht="15.75" x14ac:dyDescent="0.25">
      <c r="A313" s="49">
        <v>312</v>
      </c>
      <c r="C313" s="51" t="s">
        <v>37</v>
      </c>
    </row>
    <row r="314" spans="1:3" ht="15.75" x14ac:dyDescent="0.25">
      <c r="A314" s="49">
        <v>313</v>
      </c>
      <c r="C314" s="51" t="s">
        <v>37</v>
      </c>
    </row>
    <row r="315" spans="1:3" ht="15.75" x14ac:dyDescent="0.25">
      <c r="A315" s="49">
        <v>314</v>
      </c>
      <c r="C315" s="51" t="s">
        <v>37</v>
      </c>
    </row>
    <row r="316" spans="1:3" ht="15.75" x14ac:dyDescent="0.25">
      <c r="A316" s="49">
        <v>315</v>
      </c>
      <c r="C316" s="51" t="s">
        <v>37</v>
      </c>
    </row>
    <row r="317" spans="1:3" ht="15.75" x14ac:dyDescent="0.25">
      <c r="A317" s="49">
        <v>316</v>
      </c>
      <c r="C317" s="51" t="s">
        <v>37</v>
      </c>
    </row>
    <row r="318" spans="1:3" ht="15.75" x14ac:dyDescent="0.25">
      <c r="A318" s="49">
        <v>317</v>
      </c>
      <c r="C318" s="51" t="s">
        <v>37</v>
      </c>
    </row>
    <row r="319" spans="1:3" ht="15.75" x14ac:dyDescent="0.25">
      <c r="A319" s="49">
        <v>318</v>
      </c>
      <c r="C319" s="51" t="s">
        <v>37</v>
      </c>
    </row>
    <row r="320" spans="1:3" ht="15.75" x14ac:dyDescent="0.25">
      <c r="A320" s="49">
        <v>319</v>
      </c>
      <c r="C320" s="51" t="s">
        <v>37</v>
      </c>
    </row>
    <row r="321" spans="1:3" ht="15.75" x14ac:dyDescent="0.25">
      <c r="A321" s="49">
        <v>320</v>
      </c>
      <c r="C321" s="51" t="s">
        <v>37</v>
      </c>
    </row>
    <row r="322" spans="1:3" ht="15.75" x14ac:dyDescent="0.25">
      <c r="A322" s="49">
        <v>321</v>
      </c>
      <c r="C322" s="51" t="s">
        <v>37</v>
      </c>
    </row>
    <row r="323" spans="1:3" ht="15.75" x14ac:dyDescent="0.25">
      <c r="A323" s="49">
        <v>322</v>
      </c>
      <c r="C323" s="51" t="s">
        <v>37</v>
      </c>
    </row>
    <row r="324" spans="1:3" ht="15.75" x14ac:dyDescent="0.25">
      <c r="A324" s="49">
        <v>323</v>
      </c>
      <c r="C324" s="51" t="s">
        <v>37</v>
      </c>
    </row>
    <row r="325" spans="1:3" ht="15.75" x14ac:dyDescent="0.25">
      <c r="A325" s="49">
        <v>324</v>
      </c>
      <c r="C325" s="51" t="s">
        <v>37</v>
      </c>
    </row>
    <row r="326" spans="1:3" ht="15.75" x14ac:dyDescent="0.25">
      <c r="A326" s="49">
        <v>325</v>
      </c>
      <c r="C326" s="51" t="s">
        <v>37</v>
      </c>
    </row>
    <row r="327" spans="1:3" ht="15.75" x14ac:dyDescent="0.25">
      <c r="A327" s="49">
        <v>326</v>
      </c>
      <c r="C327" s="51" t="s">
        <v>37</v>
      </c>
    </row>
    <row r="328" spans="1:3" ht="15.75" x14ac:dyDescent="0.25">
      <c r="A328" s="49">
        <v>327</v>
      </c>
      <c r="C328" s="51" t="s">
        <v>37</v>
      </c>
    </row>
    <row r="329" spans="1:3" ht="15.75" x14ac:dyDescent="0.25">
      <c r="A329" s="49">
        <v>328</v>
      </c>
      <c r="C329" s="51" t="s">
        <v>37</v>
      </c>
    </row>
    <row r="330" spans="1:3" ht="15.75" x14ac:dyDescent="0.25">
      <c r="A330" s="49">
        <v>329</v>
      </c>
      <c r="C330" s="51" t="s">
        <v>37</v>
      </c>
    </row>
    <row r="331" spans="1:3" ht="15.75" x14ac:dyDescent="0.25">
      <c r="A331" s="49">
        <v>330</v>
      </c>
      <c r="C331" s="51" t="s">
        <v>37</v>
      </c>
    </row>
    <row r="332" spans="1:3" ht="15.75" x14ac:dyDescent="0.25">
      <c r="A332" s="49">
        <v>331</v>
      </c>
      <c r="C332" s="51" t="s">
        <v>37</v>
      </c>
    </row>
    <row r="333" spans="1:3" ht="15.75" x14ac:dyDescent="0.25">
      <c r="A333" s="49">
        <v>332</v>
      </c>
      <c r="C333" s="51" t="s">
        <v>37</v>
      </c>
    </row>
    <row r="334" spans="1:3" ht="15.75" x14ac:dyDescent="0.25">
      <c r="A334" s="49">
        <v>333</v>
      </c>
      <c r="C334" s="51" t="s">
        <v>37</v>
      </c>
    </row>
    <row r="335" spans="1:3" ht="15.75" x14ac:dyDescent="0.25">
      <c r="A335" s="49">
        <v>334</v>
      </c>
      <c r="C335" s="51" t="s">
        <v>37</v>
      </c>
    </row>
    <row r="336" spans="1:3" ht="15.75" x14ac:dyDescent="0.25">
      <c r="A336" s="49">
        <v>335</v>
      </c>
      <c r="C336" s="51" t="s">
        <v>37</v>
      </c>
    </row>
    <row r="337" spans="1:3" ht="15.75" x14ac:dyDescent="0.25">
      <c r="A337" s="49">
        <v>336</v>
      </c>
      <c r="C337" s="51" t="s">
        <v>37</v>
      </c>
    </row>
    <row r="338" spans="1:3" ht="15.75" x14ac:dyDescent="0.25">
      <c r="A338" s="49">
        <v>337</v>
      </c>
      <c r="C338" s="51" t="s">
        <v>37</v>
      </c>
    </row>
    <row r="339" spans="1:3" ht="15.75" x14ac:dyDescent="0.25">
      <c r="A339" s="49">
        <v>338</v>
      </c>
      <c r="C339" s="51" t="s">
        <v>37</v>
      </c>
    </row>
    <row r="340" spans="1:3" ht="15.75" x14ac:dyDescent="0.25">
      <c r="A340" s="49">
        <v>339</v>
      </c>
      <c r="C340" s="51" t="s">
        <v>37</v>
      </c>
    </row>
    <row r="341" spans="1:3" ht="15.75" x14ac:dyDescent="0.25">
      <c r="A341" s="49">
        <v>340</v>
      </c>
      <c r="C341" s="51" t="s">
        <v>37</v>
      </c>
    </row>
    <row r="342" spans="1:3" ht="15.75" x14ac:dyDescent="0.25">
      <c r="A342" s="49">
        <v>341</v>
      </c>
      <c r="C342" s="51" t="s">
        <v>37</v>
      </c>
    </row>
    <row r="343" spans="1:3" ht="15.75" x14ac:dyDescent="0.25">
      <c r="A343" s="49">
        <v>342</v>
      </c>
      <c r="C343" s="51" t="s">
        <v>37</v>
      </c>
    </row>
    <row r="344" spans="1:3" ht="15.75" x14ac:dyDescent="0.25">
      <c r="A344" s="49">
        <v>343</v>
      </c>
      <c r="C344" s="51" t="s">
        <v>37</v>
      </c>
    </row>
    <row r="345" spans="1:3" ht="15.75" x14ac:dyDescent="0.25">
      <c r="A345" s="49">
        <v>344</v>
      </c>
      <c r="C345" s="51" t="s">
        <v>37</v>
      </c>
    </row>
    <row r="346" spans="1:3" ht="15.75" x14ac:dyDescent="0.25">
      <c r="A346" s="49">
        <v>345</v>
      </c>
      <c r="C346" s="51" t="s">
        <v>37</v>
      </c>
    </row>
    <row r="347" spans="1:3" ht="15.75" x14ac:dyDescent="0.25">
      <c r="A347" s="49">
        <v>346</v>
      </c>
      <c r="C347" s="51" t="s">
        <v>37</v>
      </c>
    </row>
    <row r="348" spans="1:3" ht="15.75" x14ac:dyDescent="0.25">
      <c r="A348" s="49">
        <v>347</v>
      </c>
      <c r="C348" s="51" t="s">
        <v>37</v>
      </c>
    </row>
    <row r="349" spans="1:3" ht="15.75" x14ac:dyDescent="0.25">
      <c r="A349" s="49">
        <v>348</v>
      </c>
      <c r="C349" s="51" t="s">
        <v>37</v>
      </c>
    </row>
    <row r="350" spans="1:3" ht="15.75" x14ac:dyDescent="0.25">
      <c r="A350" s="49">
        <v>349</v>
      </c>
      <c r="C350" s="51" t="s">
        <v>37</v>
      </c>
    </row>
    <row r="351" spans="1:3" ht="15.75" x14ac:dyDescent="0.25">
      <c r="A351" s="49">
        <v>350</v>
      </c>
      <c r="C351" s="51" t="s">
        <v>37</v>
      </c>
    </row>
    <row r="352" spans="1:3" ht="15.75" x14ac:dyDescent="0.25">
      <c r="A352" s="49">
        <v>351</v>
      </c>
      <c r="C352" s="51" t="s">
        <v>37</v>
      </c>
    </row>
    <row r="353" spans="1:3" ht="15.75" x14ac:dyDescent="0.25">
      <c r="A353" s="49">
        <v>352</v>
      </c>
      <c r="C353" s="51" t="s">
        <v>37</v>
      </c>
    </row>
    <row r="354" spans="1:3" ht="15.75" x14ac:dyDescent="0.25">
      <c r="A354" s="49">
        <v>353</v>
      </c>
      <c r="C354" s="51" t="s">
        <v>37</v>
      </c>
    </row>
    <row r="355" spans="1:3" ht="15.75" x14ac:dyDescent="0.25">
      <c r="A355" s="49">
        <v>354</v>
      </c>
      <c r="C355" s="51" t="s">
        <v>37</v>
      </c>
    </row>
    <row r="356" spans="1:3" ht="15.75" x14ac:dyDescent="0.25">
      <c r="A356" s="49">
        <v>355</v>
      </c>
      <c r="C356" s="51" t="s">
        <v>37</v>
      </c>
    </row>
    <row r="357" spans="1:3" ht="15.75" x14ac:dyDescent="0.25">
      <c r="A357" s="49">
        <v>356</v>
      </c>
      <c r="C357" s="51" t="s">
        <v>37</v>
      </c>
    </row>
    <row r="358" spans="1:3" ht="15.75" x14ac:dyDescent="0.25">
      <c r="A358" s="49">
        <v>357</v>
      </c>
      <c r="C358" s="51" t="s">
        <v>37</v>
      </c>
    </row>
    <row r="359" spans="1:3" ht="15.75" x14ac:dyDescent="0.25">
      <c r="A359" s="49">
        <v>358</v>
      </c>
      <c r="C359" s="51" t="s">
        <v>37</v>
      </c>
    </row>
    <row r="360" spans="1:3" ht="15.75" x14ac:dyDescent="0.25">
      <c r="A360" s="49">
        <v>359</v>
      </c>
      <c r="C360" s="51" t="s">
        <v>37</v>
      </c>
    </row>
    <row r="361" spans="1:3" ht="15.75" x14ac:dyDescent="0.25">
      <c r="A361" s="49">
        <v>360</v>
      </c>
      <c r="C361" s="51" t="s">
        <v>37</v>
      </c>
    </row>
    <row r="362" spans="1:3" ht="15.75" x14ac:dyDescent="0.25">
      <c r="A362" s="49">
        <v>361</v>
      </c>
      <c r="C362" s="51" t="s">
        <v>37</v>
      </c>
    </row>
    <row r="363" spans="1:3" ht="15.75" x14ac:dyDescent="0.25">
      <c r="A363" s="49">
        <v>362</v>
      </c>
      <c r="C363" s="51" t="s">
        <v>37</v>
      </c>
    </row>
    <row r="364" spans="1:3" ht="15.75" x14ac:dyDescent="0.25">
      <c r="A364" s="49">
        <v>363</v>
      </c>
      <c r="C364" s="51" t="s">
        <v>37</v>
      </c>
    </row>
    <row r="365" spans="1:3" ht="15.75" x14ac:dyDescent="0.25">
      <c r="A365" s="49">
        <v>364</v>
      </c>
      <c r="C365" s="51" t="s">
        <v>37</v>
      </c>
    </row>
    <row r="366" spans="1:3" ht="15.75" x14ac:dyDescent="0.25">
      <c r="A366" s="49">
        <v>365</v>
      </c>
      <c r="C366" s="51" t="s">
        <v>37</v>
      </c>
    </row>
    <row r="367" spans="1:3" ht="15.75" x14ac:dyDescent="0.25">
      <c r="A367" s="49">
        <v>366</v>
      </c>
      <c r="C367" s="51" t="s">
        <v>37</v>
      </c>
    </row>
    <row r="368" spans="1:3" ht="15.75" x14ac:dyDescent="0.25">
      <c r="A368" s="49">
        <v>367</v>
      </c>
      <c r="C368" s="51" t="s">
        <v>37</v>
      </c>
    </row>
    <row r="369" spans="1:3" ht="15.75" x14ac:dyDescent="0.25">
      <c r="A369" s="49">
        <v>368</v>
      </c>
      <c r="C369" s="51" t="s">
        <v>37</v>
      </c>
    </row>
    <row r="370" spans="1:3" ht="15.75" x14ac:dyDescent="0.25">
      <c r="A370" s="49">
        <v>369</v>
      </c>
      <c r="C370" s="51" t="s">
        <v>37</v>
      </c>
    </row>
    <row r="371" spans="1:3" ht="15.75" x14ac:dyDescent="0.25">
      <c r="A371" s="49">
        <v>370</v>
      </c>
      <c r="C371" s="51" t="s">
        <v>37</v>
      </c>
    </row>
    <row r="372" spans="1:3" ht="15.75" x14ac:dyDescent="0.25">
      <c r="A372" s="49">
        <v>371</v>
      </c>
      <c r="C372" s="51" t="s">
        <v>37</v>
      </c>
    </row>
    <row r="373" spans="1:3" ht="15.75" x14ac:dyDescent="0.25">
      <c r="A373" s="49">
        <v>372</v>
      </c>
      <c r="C373" s="51" t="s">
        <v>37</v>
      </c>
    </row>
    <row r="374" spans="1:3" ht="15.75" x14ac:dyDescent="0.25">
      <c r="A374" s="49">
        <v>373</v>
      </c>
      <c r="C374" s="51" t="s">
        <v>37</v>
      </c>
    </row>
    <row r="375" spans="1:3" ht="15.75" x14ac:dyDescent="0.25">
      <c r="A375" s="49">
        <v>374</v>
      </c>
      <c r="C375" s="51" t="s">
        <v>37</v>
      </c>
    </row>
    <row r="376" spans="1:3" ht="15.75" x14ac:dyDescent="0.25">
      <c r="A376" s="49">
        <v>375</v>
      </c>
      <c r="C376" s="51" t="s">
        <v>37</v>
      </c>
    </row>
    <row r="377" spans="1:3" ht="15.75" x14ac:dyDescent="0.25">
      <c r="A377" s="49">
        <v>376</v>
      </c>
      <c r="C377" s="51" t="s">
        <v>37</v>
      </c>
    </row>
    <row r="378" spans="1:3" ht="15.75" x14ac:dyDescent="0.25">
      <c r="A378" s="49">
        <v>377</v>
      </c>
      <c r="C378" s="51" t="s">
        <v>37</v>
      </c>
    </row>
    <row r="379" spans="1:3" ht="15.75" x14ac:dyDescent="0.25">
      <c r="A379" s="49">
        <v>378</v>
      </c>
      <c r="C379" s="51" t="s">
        <v>37</v>
      </c>
    </row>
    <row r="380" spans="1:3" ht="15.75" x14ac:dyDescent="0.25">
      <c r="A380" s="49">
        <v>379</v>
      </c>
      <c r="C380" s="51" t="s">
        <v>37</v>
      </c>
    </row>
    <row r="381" spans="1:3" ht="15.75" x14ac:dyDescent="0.25">
      <c r="A381" s="49">
        <v>380</v>
      </c>
      <c r="C381" s="51" t="s">
        <v>37</v>
      </c>
    </row>
    <row r="382" spans="1:3" ht="15.75" x14ac:dyDescent="0.25">
      <c r="A382" s="49">
        <v>381</v>
      </c>
      <c r="C382" s="51" t="s">
        <v>37</v>
      </c>
    </row>
    <row r="383" spans="1:3" ht="15.75" x14ac:dyDescent="0.25">
      <c r="A383" s="49">
        <v>382</v>
      </c>
      <c r="C383" s="51" t="s">
        <v>37</v>
      </c>
    </row>
    <row r="384" spans="1:3" ht="15.75" x14ac:dyDescent="0.25">
      <c r="A384" s="49">
        <v>383</v>
      </c>
      <c r="C384" s="51" t="s">
        <v>37</v>
      </c>
    </row>
    <row r="385" spans="1:3" ht="15.75" x14ac:dyDescent="0.25">
      <c r="A385" s="49">
        <v>384</v>
      </c>
      <c r="C385" s="51" t="s">
        <v>37</v>
      </c>
    </row>
    <row r="386" spans="1:3" ht="15.75" x14ac:dyDescent="0.25">
      <c r="A386" s="49">
        <v>385</v>
      </c>
      <c r="C386" s="51" t="s">
        <v>37</v>
      </c>
    </row>
    <row r="387" spans="1:3" ht="15.75" x14ac:dyDescent="0.25">
      <c r="A387" s="49">
        <v>386</v>
      </c>
      <c r="C387" s="51" t="s">
        <v>37</v>
      </c>
    </row>
    <row r="388" spans="1:3" ht="15.75" x14ac:dyDescent="0.25">
      <c r="A388" s="49">
        <v>387</v>
      </c>
      <c r="C388" s="51" t="s">
        <v>37</v>
      </c>
    </row>
    <row r="389" spans="1:3" ht="15.75" x14ac:dyDescent="0.25">
      <c r="A389" s="49">
        <v>388</v>
      </c>
      <c r="C389" s="51" t="s">
        <v>37</v>
      </c>
    </row>
    <row r="390" spans="1:3" ht="15.75" x14ac:dyDescent="0.25">
      <c r="A390" s="49">
        <v>389</v>
      </c>
      <c r="C390" s="51" t="s">
        <v>37</v>
      </c>
    </row>
    <row r="391" spans="1:3" ht="15.75" x14ac:dyDescent="0.25">
      <c r="A391" s="49">
        <v>390</v>
      </c>
      <c r="C391" s="51" t="s">
        <v>37</v>
      </c>
    </row>
    <row r="392" spans="1:3" ht="15.75" x14ac:dyDescent="0.25">
      <c r="A392" s="49">
        <v>391</v>
      </c>
      <c r="C392" s="51" t="s">
        <v>37</v>
      </c>
    </row>
    <row r="393" spans="1:3" ht="15.75" x14ac:dyDescent="0.25">
      <c r="A393" s="49">
        <v>392</v>
      </c>
      <c r="C393" s="51" t="s">
        <v>37</v>
      </c>
    </row>
    <row r="394" spans="1:3" ht="15.75" x14ac:dyDescent="0.25">
      <c r="A394" s="49">
        <v>393</v>
      </c>
      <c r="C394" s="51" t="s">
        <v>37</v>
      </c>
    </row>
    <row r="395" spans="1:3" ht="15.75" x14ac:dyDescent="0.25">
      <c r="A395" s="49">
        <v>394</v>
      </c>
      <c r="C395" s="51" t="s">
        <v>37</v>
      </c>
    </row>
    <row r="396" spans="1:3" ht="15.75" x14ac:dyDescent="0.25">
      <c r="A396" s="49">
        <v>395</v>
      </c>
      <c r="C396" s="51" t="s">
        <v>37</v>
      </c>
    </row>
    <row r="397" spans="1:3" ht="15.75" x14ac:dyDescent="0.25">
      <c r="A397" s="49">
        <v>396</v>
      </c>
      <c r="C397" s="51" t="s">
        <v>37</v>
      </c>
    </row>
    <row r="398" spans="1:3" ht="15.75" x14ac:dyDescent="0.25">
      <c r="A398" s="49">
        <v>397</v>
      </c>
      <c r="C398" s="51" t="s">
        <v>37</v>
      </c>
    </row>
    <row r="399" spans="1:3" ht="15.75" x14ac:dyDescent="0.25">
      <c r="A399" s="49">
        <v>398</v>
      </c>
      <c r="C399" s="51" t="s">
        <v>37</v>
      </c>
    </row>
    <row r="400" spans="1:3" ht="15.75" x14ac:dyDescent="0.25">
      <c r="A400" s="49">
        <v>399</v>
      </c>
      <c r="C400" s="51" t="s">
        <v>37</v>
      </c>
    </row>
    <row r="401" spans="1:3" ht="15.75" x14ac:dyDescent="0.25">
      <c r="A401" s="49">
        <v>400</v>
      </c>
      <c r="C401" s="51" t="s">
        <v>37</v>
      </c>
    </row>
    <row r="402" spans="1:3" ht="15.75" x14ac:dyDescent="0.25">
      <c r="A402" s="49">
        <v>401</v>
      </c>
      <c r="C402" s="51" t="s">
        <v>37</v>
      </c>
    </row>
    <row r="403" spans="1:3" ht="15.75" x14ac:dyDescent="0.25">
      <c r="A403" s="49">
        <v>402</v>
      </c>
      <c r="C403" s="51" t="s">
        <v>37</v>
      </c>
    </row>
    <row r="404" spans="1:3" ht="15.75" x14ac:dyDescent="0.25">
      <c r="A404" s="49">
        <v>403</v>
      </c>
      <c r="C404" s="51" t="s">
        <v>37</v>
      </c>
    </row>
    <row r="405" spans="1:3" ht="15.75" x14ac:dyDescent="0.25">
      <c r="A405" s="49">
        <v>404</v>
      </c>
      <c r="C405" s="51" t="s">
        <v>37</v>
      </c>
    </row>
    <row r="406" spans="1:3" ht="15.75" x14ac:dyDescent="0.25">
      <c r="A406" s="49">
        <v>405</v>
      </c>
      <c r="C406" s="51" t="s">
        <v>37</v>
      </c>
    </row>
    <row r="407" spans="1:3" ht="15.75" x14ac:dyDescent="0.25">
      <c r="A407" s="49">
        <v>406</v>
      </c>
      <c r="C407" s="51" t="s">
        <v>37</v>
      </c>
    </row>
    <row r="408" spans="1:3" ht="15.75" x14ac:dyDescent="0.25">
      <c r="A408" s="49">
        <v>407</v>
      </c>
      <c r="C408" s="51" t="s">
        <v>37</v>
      </c>
    </row>
    <row r="409" spans="1:3" ht="15.75" x14ac:dyDescent="0.25">
      <c r="A409" s="49">
        <v>408</v>
      </c>
      <c r="C409" s="51" t="s">
        <v>37</v>
      </c>
    </row>
    <row r="410" spans="1:3" ht="15.75" x14ac:dyDescent="0.25">
      <c r="A410" s="49">
        <v>409</v>
      </c>
      <c r="C410" s="51" t="s">
        <v>37</v>
      </c>
    </row>
    <row r="411" spans="1:3" ht="15.75" x14ac:dyDescent="0.25">
      <c r="A411" s="49">
        <v>410</v>
      </c>
      <c r="C411" s="51" t="s">
        <v>37</v>
      </c>
    </row>
    <row r="412" spans="1:3" ht="15.75" x14ac:dyDescent="0.25">
      <c r="A412" s="49">
        <v>411</v>
      </c>
      <c r="C412" s="51" t="s">
        <v>37</v>
      </c>
    </row>
    <row r="413" spans="1:3" ht="15.75" x14ac:dyDescent="0.25">
      <c r="A413" s="49">
        <v>412</v>
      </c>
      <c r="C413" s="51" t="s">
        <v>37</v>
      </c>
    </row>
    <row r="414" spans="1:3" ht="15.75" x14ac:dyDescent="0.25">
      <c r="A414" s="49">
        <v>413</v>
      </c>
      <c r="C414" s="51" t="s">
        <v>37</v>
      </c>
    </row>
    <row r="415" spans="1:3" ht="15.75" x14ac:dyDescent="0.25">
      <c r="A415" s="49">
        <v>414</v>
      </c>
      <c r="C415" s="51" t="s">
        <v>37</v>
      </c>
    </row>
    <row r="416" spans="1:3" ht="15.75" x14ac:dyDescent="0.25">
      <c r="A416" s="49">
        <v>415</v>
      </c>
      <c r="C416" s="51" t="s">
        <v>37</v>
      </c>
    </row>
    <row r="417" spans="1:3" ht="15.75" x14ac:dyDescent="0.25">
      <c r="A417" s="49">
        <v>416</v>
      </c>
      <c r="C417" s="51" t="s">
        <v>37</v>
      </c>
    </row>
    <row r="418" spans="1:3" ht="15.75" x14ac:dyDescent="0.25">
      <c r="A418" s="49">
        <v>417</v>
      </c>
      <c r="C418" s="51" t="s">
        <v>37</v>
      </c>
    </row>
    <row r="419" spans="1:3" ht="15.75" x14ac:dyDescent="0.25">
      <c r="A419" s="49">
        <v>418</v>
      </c>
      <c r="C419" s="51" t="s">
        <v>37</v>
      </c>
    </row>
    <row r="420" spans="1:3" ht="15.75" x14ac:dyDescent="0.25">
      <c r="A420" s="49">
        <v>419</v>
      </c>
      <c r="C420" s="51" t="s">
        <v>37</v>
      </c>
    </row>
    <row r="421" spans="1:3" ht="15.75" x14ac:dyDescent="0.25">
      <c r="A421" s="49">
        <v>420</v>
      </c>
      <c r="C421" s="51" t="s">
        <v>37</v>
      </c>
    </row>
    <row r="422" spans="1:3" ht="15.75" x14ac:dyDescent="0.25">
      <c r="A422" s="49">
        <v>421</v>
      </c>
      <c r="C422" s="51" t="s">
        <v>37</v>
      </c>
    </row>
    <row r="423" spans="1:3" ht="15.75" x14ac:dyDescent="0.25">
      <c r="A423" s="49">
        <v>422</v>
      </c>
      <c r="C423" s="51" t="s">
        <v>37</v>
      </c>
    </row>
    <row r="424" spans="1:3" ht="15.75" x14ac:dyDescent="0.25">
      <c r="A424" s="49">
        <v>423</v>
      </c>
      <c r="C424" s="51" t="s">
        <v>37</v>
      </c>
    </row>
    <row r="425" spans="1:3" ht="15.75" x14ac:dyDescent="0.25">
      <c r="A425" s="49">
        <v>424</v>
      </c>
      <c r="C425" s="51" t="s">
        <v>37</v>
      </c>
    </row>
    <row r="426" spans="1:3" ht="15.75" x14ac:dyDescent="0.25">
      <c r="A426" s="49">
        <v>425</v>
      </c>
      <c r="C426" s="51" t="s">
        <v>37</v>
      </c>
    </row>
    <row r="427" spans="1:3" ht="15.75" x14ac:dyDescent="0.25">
      <c r="A427" s="49">
        <v>426</v>
      </c>
      <c r="C427" s="51" t="s">
        <v>37</v>
      </c>
    </row>
    <row r="428" spans="1:3" ht="15.75" x14ac:dyDescent="0.25">
      <c r="A428" s="49">
        <v>427</v>
      </c>
      <c r="C428" s="51" t="s">
        <v>37</v>
      </c>
    </row>
    <row r="429" spans="1:3" ht="15.75" x14ac:dyDescent="0.25">
      <c r="A429" s="49">
        <v>428</v>
      </c>
      <c r="C429" s="51" t="s">
        <v>37</v>
      </c>
    </row>
    <row r="430" spans="1:3" ht="15.75" x14ac:dyDescent="0.25">
      <c r="A430" s="49">
        <v>429</v>
      </c>
      <c r="C430" s="51" t="s">
        <v>37</v>
      </c>
    </row>
    <row r="431" spans="1:3" ht="15.75" x14ac:dyDescent="0.25">
      <c r="A431" s="49">
        <v>430</v>
      </c>
      <c r="C431" s="51" t="s">
        <v>37</v>
      </c>
    </row>
    <row r="432" spans="1:3" ht="15.75" x14ac:dyDescent="0.25">
      <c r="A432" s="49">
        <v>431</v>
      </c>
      <c r="C432" s="51" t="s">
        <v>37</v>
      </c>
    </row>
    <row r="433" spans="1:3" ht="15.75" x14ac:dyDescent="0.25">
      <c r="A433" s="49">
        <v>432</v>
      </c>
      <c r="C433" s="51" t="s">
        <v>37</v>
      </c>
    </row>
    <row r="434" spans="1:3" ht="15.75" x14ac:dyDescent="0.25">
      <c r="A434" s="49">
        <v>433</v>
      </c>
      <c r="C434" s="51" t="s">
        <v>37</v>
      </c>
    </row>
    <row r="435" spans="1:3" ht="15.75" x14ac:dyDescent="0.25">
      <c r="A435" s="49">
        <v>434</v>
      </c>
      <c r="C435" s="51" t="s">
        <v>37</v>
      </c>
    </row>
    <row r="436" spans="1:3" ht="15.75" x14ac:dyDescent="0.25">
      <c r="A436" s="49">
        <v>435</v>
      </c>
      <c r="C436" s="51" t="s">
        <v>37</v>
      </c>
    </row>
    <row r="437" spans="1:3" ht="15.75" x14ac:dyDescent="0.25">
      <c r="A437" s="49">
        <v>436</v>
      </c>
      <c r="C437" s="51" t="s">
        <v>37</v>
      </c>
    </row>
    <row r="438" spans="1:3" ht="15.75" x14ac:dyDescent="0.25">
      <c r="A438" s="49">
        <v>437</v>
      </c>
      <c r="C438" s="51" t="s">
        <v>37</v>
      </c>
    </row>
    <row r="439" spans="1:3" ht="15.75" x14ac:dyDescent="0.25">
      <c r="A439" s="49">
        <v>438</v>
      </c>
      <c r="C439" s="51" t="s">
        <v>37</v>
      </c>
    </row>
    <row r="440" spans="1:3" ht="15.75" x14ac:dyDescent="0.25">
      <c r="A440" s="49">
        <v>439</v>
      </c>
      <c r="C440" s="51" t="s">
        <v>37</v>
      </c>
    </row>
    <row r="441" spans="1:3" ht="15.75" x14ac:dyDescent="0.25">
      <c r="A441" s="49">
        <v>440</v>
      </c>
      <c r="C441" s="51" t="s">
        <v>37</v>
      </c>
    </row>
    <row r="442" spans="1:3" ht="15.75" x14ac:dyDescent="0.25">
      <c r="A442" s="49">
        <v>441</v>
      </c>
      <c r="C442" s="51" t="s">
        <v>37</v>
      </c>
    </row>
    <row r="443" spans="1:3" ht="15.75" x14ac:dyDescent="0.25">
      <c r="A443" s="49">
        <v>442</v>
      </c>
      <c r="C443" s="51" t="s">
        <v>37</v>
      </c>
    </row>
    <row r="444" spans="1:3" ht="15.75" x14ac:dyDescent="0.25">
      <c r="A444" s="49">
        <v>443</v>
      </c>
      <c r="C444" s="51" t="s">
        <v>37</v>
      </c>
    </row>
    <row r="445" spans="1:3" ht="15.75" x14ac:dyDescent="0.25">
      <c r="A445" s="49">
        <v>444</v>
      </c>
      <c r="C445" s="51" t="s">
        <v>37</v>
      </c>
    </row>
    <row r="446" spans="1:3" ht="15.75" x14ac:dyDescent="0.25">
      <c r="A446" s="49">
        <v>445</v>
      </c>
      <c r="C446" s="51" t="s">
        <v>37</v>
      </c>
    </row>
    <row r="447" spans="1:3" ht="15.75" x14ac:dyDescent="0.25">
      <c r="A447" s="49">
        <v>446</v>
      </c>
      <c r="C447" s="51" t="s">
        <v>37</v>
      </c>
    </row>
    <row r="448" spans="1:3" ht="15.75" x14ac:dyDescent="0.25">
      <c r="A448" s="49">
        <v>447</v>
      </c>
      <c r="C448" s="51" t="s">
        <v>37</v>
      </c>
    </row>
    <row r="449" spans="1:3" ht="15.75" x14ac:dyDescent="0.25">
      <c r="A449" s="49">
        <v>448</v>
      </c>
      <c r="C449" s="51" t="s">
        <v>37</v>
      </c>
    </row>
    <row r="450" spans="1:3" ht="15.75" x14ac:dyDescent="0.25">
      <c r="A450" s="49">
        <v>449</v>
      </c>
      <c r="C450" s="51" t="s">
        <v>37</v>
      </c>
    </row>
    <row r="451" spans="1:3" ht="15.75" x14ac:dyDescent="0.25">
      <c r="A451" s="49">
        <v>450</v>
      </c>
      <c r="C451" s="51" t="s">
        <v>37</v>
      </c>
    </row>
    <row r="452" spans="1:3" ht="15.75" x14ac:dyDescent="0.25">
      <c r="A452" s="49">
        <v>451</v>
      </c>
      <c r="C452" s="51" t="s">
        <v>37</v>
      </c>
    </row>
    <row r="453" spans="1:3" ht="15.75" x14ac:dyDescent="0.25">
      <c r="A453" s="49">
        <v>452</v>
      </c>
      <c r="C453" s="51" t="s">
        <v>37</v>
      </c>
    </row>
    <row r="454" spans="1:3" ht="15.75" x14ac:dyDescent="0.25">
      <c r="A454" s="49">
        <v>453</v>
      </c>
      <c r="C454" s="51" t="s">
        <v>37</v>
      </c>
    </row>
    <row r="455" spans="1:3" ht="15.75" x14ac:dyDescent="0.25">
      <c r="A455" s="49">
        <v>454</v>
      </c>
      <c r="C455" s="51" t="s">
        <v>37</v>
      </c>
    </row>
    <row r="456" spans="1:3" ht="15.75" x14ac:dyDescent="0.25">
      <c r="A456" s="49">
        <v>455</v>
      </c>
      <c r="C456" s="51" t="s">
        <v>37</v>
      </c>
    </row>
    <row r="457" spans="1:3" ht="15.75" x14ac:dyDescent="0.25">
      <c r="A457" s="49">
        <v>456</v>
      </c>
      <c r="C457" s="51" t="s">
        <v>37</v>
      </c>
    </row>
    <row r="458" spans="1:3" ht="15.75" x14ac:dyDescent="0.25">
      <c r="A458" s="49">
        <v>457</v>
      </c>
      <c r="C458" s="51" t="s">
        <v>37</v>
      </c>
    </row>
    <row r="459" spans="1:3" ht="15.75" x14ac:dyDescent="0.25">
      <c r="A459" s="49">
        <v>458</v>
      </c>
      <c r="C459" s="51" t="s">
        <v>37</v>
      </c>
    </row>
    <row r="460" spans="1:3" ht="15.75" x14ac:dyDescent="0.25">
      <c r="A460" s="49">
        <v>459</v>
      </c>
      <c r="C460" s="51" t="s">
        <v>37</v>
      </c>
    </row>
    <row r="461" spans="1:3" ht="15.75" x14ac:dyDescent="0.25">
      <c r="A461" s="49">
        <v>460</v>
      </c>
      <c r="C461" s="51" t="s">
        <v>37</v>
      </c>
    </row>
    <row r="462" spans="1:3" ht="15.75" x14ac:dyDescent="0.25">
      <c r="A462" s="49">
        <v>461</v>
      </c>
      <c r="C462" s="51" t="s">
        <v>37</v>
      </c>
    </row>
    <row r="463" spans="1:3" ht="15.75" x14ac:dyDescent="0.25">
      <c r="A463" s="49">
        <v>462</v>
      </c>
      <c r="C463" s="51" t="s">
        <v>37</v>
      </c>
    </row>
    <row r="464" spans="1:3" ht="15.75" x14ac:dyDescent="0.25">
      <c r="A464" s="49">
        <v>463</v>
      </c>
      <c r="C464" s="51" t="s">
        <v>37</v>
      </c>
    </row>
    <row r="465" spans="1:3" ht="15.75" x14ac:dyDescent="0.25">
      <c r="A465" s="49">
        <v>464</v>
      </c>
      <c r="C465" s="51" t="s">
        <v>37</v>
      </c>
    </row>
    <row r="466" spans="1:3" ht="15.75" x14ac:dyDescent="0.25">
      <c r="A466" s="49">
        <v>465</v>
      </c>
      <c r="C466" s="51" t="s">
        <v>37</v>
      </c>
    </row>
    <row r="467" spans="1:3" ht="15.75" x14ac:dyDescent="0.25">
      <c r="A467" s="49">
        <v>466</v>
      </c>
      <c r="C467" s="51" t="s">
        <v>37</v>
      </c>
    </row>
    <row r="468" spans="1:3" ht="15.75" x14ac:dyDescent="0.25">
      <c r="A468" s="49">
        <v>467</v>
      </c>
      <c r="C468" s="51" t="s">
        <v>37</v>
      </c>
    </row>
    <row r="469" spans="1:3" ht="15.75" x14ac:dyDescent="0.25">
      <c r="A469" s="49">
        <v>468</v>
      </c>
      <c r="C469" s="51" t="s">
        <v>37</v>
      </c>
    </row>
    <row r="470" spans="1:3" ht="15.75" x14ac:dyDescent="0.25">
      <c r="A470" s="49">
        <v>469</v>
      </c>
      <c r="C470" s="51" t="s">
        <v>37</v>
      </c>
    </row>
    <row r="471" spans="1:3" ht="15.75" x14ac:dyDescent="0.25">
      <c r="A471" s="49">
        <v>470</v>
      </c>
      <c r="C471" s="51" t="s">
        <v>37</v>
      </c>
    </row>
    <row r="472" spans="1:3" ht="15.75" x14ac:dyDescent="0.25">
      <c r="A472" s="49">
        <v>471</v>
      </c>
      <c r="C472" s="51" t="s">
        <v>37</v>
      </c>
    </row>
    <row r="473" spans="1:3" ht="15.75" x14ac:dyDescent="0.25">
      <c r="A473" s="49">
        <v>472</v>
      </c>
      <c r="C473" s="51" t="s">
        <v>37</v>
      </c>
    </row>
    <row r="474" spans="1:3" ht="15.75" x14ac:dyDescent="0.25">
      <c r="A474" s="49">
        <v>473</v>
      </c>
      <c r="C474" s="51" t="s">
        <v>37</v>
      </c>
    </row>
    <row r="475" spans="1:3" ht="15.75" x14ac:dyDescent="0.25">
      <c r="A475" s="49">
        <v>474</v>
      </c>
      <c r="C475" s="51" t="s">
        <v>37</v>
      </c>
    </row>
    <row r="476" spans="1:3" ht="15.75" x14ac:dyDescent="0.25">
      <c r="A476" s="49">
        <v>475</v>
      </c>
      <c r="C476" s="51" t="s">
        <v>37</v>
      </c>
    </row>
    <row r="477" spans="1:3" ht="15.75" x14ac:dyDescent="0.25">
      <c r="A477" s="49">
        <v>476</v>
      </c>
      <c r="C477" s="51" t="s">
        <v>37</v>
      </c>
    </row>
    <row r="478" spans="1:3" ht="15.75" x14ac:dyDescent="0.25">
      <c r="A478" s="49">
        <v>477</v>
      </c>
      <c r="C478" s="51" t="s">
        <v>37</v>
      </c>
    </row>
    <row r="479" spans="1:3" ht="15.75" x14ac:dyDescent="0.25">
      <c r="A479" s="49">
        <v>478</v>
      </c>
      <c r="C479" s="51" t="s">
        <v>37</v>
      </c>
    </row>
    <row r="480" spans="1:3" ht="15.75" x14ac:dyDescent="0.25">
      <c r="A480" s="49">
        <v>479</v>
      </c>
      <c r="C480" s="51" t="s">
        <v>37</v>
      </c>
    </row>
    <row r="481" spans="1:3" ht="15.75" x14ac:dyDescent="0.25">
      <c r="A481" s="49">
        <v>480</v>
      </c>
      <c r="C481" s="51" t="s">
        <v>37</v>
      </c>
    </row>
    <row r="482" spans="1:3" ht="15.75" x14ac:dyDescent="0.25">
      <c r="A482" s="49">
        <v>481</v>
      </c>
      <c r="C482" s="51" t="s">
        <v>37</v>
      </c>
    </row>
    <row r="483" spans="1:3" ht="15.75" x14ac:dyDescent="0.25">
      <c r="A483" s="49">
        <v>482</v>
      </c>
      <c r="C483" s="51" t="s">
        <v>37</v>
      </c>
    </row>
    <row r="484" spans="1:3" ht="15.75" x14ac:dyDescent="0.25">
      <c r="A484" s="49">
        <v>483</v>
      </c>
      <c r="C484" s="51" t="s">
        <v>37</v>
      </c>
    </row>
    <row r="485" spans="1:3" ht="15.75" x14ac:dyDescent="0.25">
      <c r="A485" s="49">
        <v>484</v>
      </c>
      <c r="C485" s="51" t="s">
        <v>37</v>
      </c>
    </row>
    <row r="486" spans="1:3" ht="15.75" x14ac:dyDescent="0.25">
      <c r="A486" s="49">
        <v>485</v>
      </c>
      <c r="C486" s="51" t="s">
        <v>37</v>
      </c>
    </row>
    <row r="487" spans="1:3" ht="15.75" x14ac:dyDescent="0.25">
      <c r="A487" s="49">
        <v>486</v>
      </c>
      <c r="C487" s="51" t="s">
        <v>37</v>
      </c>
    </row>
    <row r="488" spans="1:3" ht="15.75" x14ac:dyDescent="0.25">
      <c r="A488" s="49">
        <v>487</v>
      </c>
      <c r="C488" s="51" t="s">
        <v>37</v>
      </c>
    </row>
    <row r="489" spans="1:3" ht="15.75" x14ac:dyDescent="0.25">
      <c r="A489" s="49">
        <v>488</v>
      </c>
      <c r="C489" s="51" t="s">
        <v>37</v>
      </c>
    </row>
    <row r="490" spans="1:3" ht="15.75" x14ac:dyDescent="0.25">
      <c r="A490" s="49">
        <v>489</v>
      </c>
      <c r="C490" s="51" t="s">
        <v>37</v>
      </c>
    </row>
    <row r="491" spans="1:3" ht="15.75" x14ac:dyDescent="0.25">
      <c r="A491" s="49">
        <v>490</v>
      </c>
      <c r="C491" s="51" t="s">
        <v>37</v>
      </c>
    </row>
    <row r="492" spans="1:3" ht="15.75" x14ac:dyDescent="0.25">
      <c r="A492" s="49">
        <v>491</v>
      </c>
      <c r="C492" s="51" t="s">
        <v>37</v>
      </c>
    </row>
    <row r="493" spans="1:3" ht="15.75" x14ac:dyDescent="0.25">
      <c r="A493" s="49">
        <v>492</v>
      </c>
      <c r="C493" s="51" t="s">
        <v>37</v>
      </c>
    </row>
    <row r="494" spans="1:3" ht="15.75" x14ac:dyDescent="0.25">
      <c r="A494" s="49">
        <v>493</v>
      </c>
      <c r="C494" s="51" t="s">
        <v>37</v>
      </c>
    </row>
    <row r="495" spans="1:3" ht="15.75" x14ac:dyDescent="0.25">
      <c r="A495" s="49">
        <v>494</v>
      </c>
      <c r="C495" s="51" t="s">
        <v>37</v>
      </c>
    </row>
    <row r="496" spans="1:3" ht="15.75" x14ac:dyDescent="0.25">
      <c r="A496" s="49">
        <v>495</v>
      </c>
      <c r="C496" s="51" t="s">
        <v>37</v>
      </c>
    </row>
    <row r="497" spans="1:3" ht="15.75" x14ac:dyDescent="0.25">
      <c r="A497" s="49">
        <v>496</v>
      </c>
      <c r="C497" s="51" t="s">
        <v>37</v>
      </c>
    </row>
    <row r="498" spans="1:3" ht="15.75" x14ac:dyDescent="0.25">
      <c r="A498" s="49">
        <v>497</v>
      </c>
      <c r="C498" s="51" t="s">
        <v>37</v>
      </c>
    </row>
    <row r="499" spans="1:3" ht="15.75" x14ac:dyDescent="0.25">
      <c r="A499" s="49">
        <v>498</v>
      </c>
      <c r="C499" s="51" t="s">
        <v>37</v>
      </c>
    </row>
    <row r="500" spans="1:3" ht="15.75" x14ac:dyDescent="0.25">
      <c r="A500" s="49">
        <v>499</v>
      </c>
      <c r="C500" s="51" t="s">
        <v>37</v>
      </c>
    </row>
    <row r="501" spans="1:3" ht="15.75" x14ac:dyDescent="0.25">
      <c r="A501" s="49">
        <v>500</v>
      </c>
      <c r="C501" s="51" t="s">
        <v>37</v>
      </c>
    </row>
    <row r="502" spans="1:3" ht="15.75" x14ac:dyDescent="0.25">
      <c r="A502" s="49">
        <v>501</v>
      </c>
      <c r="C502" s="51" t="s">
        <v>37</v>
      </c>
    </row>
    <row r="503" spans="1:3" ht="15.75" x14ac:dyDescent="0.25">
      <c r="A503" s="49">
        <v>502</v>
      </c>
      <c r="C503" s="51" t="s">
        <v>37</v>
      </c>
    </row>
    <row r="504" spans="1:3" ht="15.75" x14ac:dyDescent="0.25">
      <c r="A504" s="49">
        <v>503</v>
      </c>
      <c r="C504" s="51" t="s">
        <v>37</v>
      </c>
    </row>
    <row r="505" spans="1:3" ht="15.75" x14ac:dyDescent="0.25">
      <c r="A505" s="49">
        <v>504</v>
      </c>
      <c r="C505" s="51" t="s">
        <v>37</v>
      </c>
    </row>
    <row r="506" spans="1:3" ht="15.75" x14ac:dyDescent="0.25">
      <c r="A506" s="49">
        <v>505</v>
      </c>
      <c r="C506" s="51" t="s">
        <v>37</v>
      </c>
    </row>
    <row r="507" spans="1:3" ht="15.75" x14ac:dyDescent="0.25">
      <c r="A507" s="49">
        <v>506</v>
      </c>
      <c r="C507" s="51" t="s">
        <v>37</v>
      </c>
    </row>
    <row r="508" spans="1:3" ht="15.75" x14ac:dyDescent="0.25">
      <c r="A508" s="49">
        <v>507</v>
      </c>
      <c r="C508" s="51" t="s">
        <v>37</v>
      </c>
    </row>
    <row r="509" spans="1:3" ht="15.75" x14ac:dyDescent="0.25">
      <c r="A509" s="49">
        <v>508</v>
      </c>
      <c r="C509" s="51" t="s">
        <v>37</v>
      </c>
    </row>
    <row r="510" spans="1:3" ht="15.75" x14ac:dyDescent="0.25">
      <c r="A510" s="49">
        <v>509</v>
      </c>
      <c r="C510" s="51" t="s">
        <v>37</v>
      </c>
    </row>
    <row r="511" spans="1:3" ht="15.75" x14ac:dyDescent="0.25">
      <c r="A511" s="49">
        <v>510</v>
      </c>
      <c r="C511" s="51" t="s">
        <v>37</v>
      </c>
    </row>
    <row r="512" spans="1:3" ht="15.75" x14ac:dyDescent="0.25">
      <c r="A512" s="49">
        <v>511</v>
      </c>
      <c r="C512" s="51" t="s">
        <v>37</v>
      </c>
    </row>
    <row r="513" spans="1:3" ht="15.75" x14ac:dyDescent="0.25">
      <c r="A513" s="49">
        <v>512</v>
      </c>
      <c r="C513" s="51" t="s">
        <v>37</v>
      </c>
    </row>
    <row r="514" spans="1:3" ht="15.75" x14ac:dyDescent="0.25">
      <c r="A514" s="49">
        <v>513</v>
      </c>
      <c r="C514" s="51" t="s">
        <v>37</v>
      </c>
    </row>
    <row r="515" spans="1:3" ht="15.75" x14ac:dyDescent="0.25">
      <c r="A515" s="49">
        <v>514</v>
      </c>
      <c r="C515" s="51" t="s">
        <v>37</v>
      </c>
    </row>
    <row r="516" spans="1:3" ht="15.75" x14ac:dyDescent="0.25">
      <c r="A516" s="49">
        <v>515</v>
      </c>
      <c r="C516" s="51" t="s">
        <v>37</v>
      </c>
    </row>
    <row r="517" spans="1:3" ht="15.75" x14ac:dyDescent="0.25">
      <c r="A517" s="49">
        <v>516</v>
      </c>
      <c r="C517" s="51" t="s">
        <v>37</v>
      </c>
    </row>
    <row r="518" spans="1:3" ht="15.75" x14ac:dyDescent="0.25">
      <c r="A518" s="49">
        <v>517</v>
      </c>
      <c r="C518" s="51" t="s">
        <v>37</v>
      </c>
    </row>
    <row r="519" spans="1:3" ht="15.75" x14ac:dyDescent="0.25">
      <c r="A519" s="49">
        <v>518</v>
      </c>
      <c r="C519" s="51" t="s">
        <v>37</v>
      </c>
    </row>
    <row r="520" spans="1:3" ht="15.75" x14ac:dyDescent="0.25">
      <c r="A520" s="49">
        <v>519</v>
      </c>
      <c r="C520" s="51" t="s">
        <v>37</v>
      </c>
    </row>
    <row r="521" spans="1:3" ht="15.75" x14ac:dyDescent="0.25">
      <c r="A521" s="49">
        <v>520</v>
      </c>
      <c r="C521" s="51" t="s">
        <v>37</v>
      </c>
    </row>
    <row r="522" spans="1:3" ht="15.75" x14ac:dyDescent="0.25">
      <c r="A522" s="49">
        <v>521</v>
      </c>
      <c r="C522" s="51" t="s">
        <v>37</v>
      </c>
    </row>
    <row r="523" spans="1:3" ht="15.75" x14ac:dyDescent="0.25">
      <c r="A523" s="49">
        <v>522</v>
      </c>
      <c r="C523" s="51" t="s">
        <v>37</v>
      </c>
    </row>
    <row r="524" spans="1:3" ht="15.75" x14ac:dyDescent="0.25">
      <c r="A524" s="49">
        <v>523</v>
      </c>
      <c r="C524" s="51" t="s">
        <v>37</v>
      </c>
    </row>
    <row r="525" spans="1:3" ht="15.75" x14ac:dyDescent="0.25">
      <c r="A525" s="49">
        <v>524</v>
      </c>
      <c r="C525" s="51" t="s">
        <v>37</v>
      </c>
    </row>
    <row r="526" spans="1:3" ht="15.75" x14ac:dyDescent="0.25">
      <c r="A526" s="49">
        <v>525</v>
      </c>
      <c r="C526" s="51" t="s">
        <v>37</v>
      </c>
    </row>
    <row r="527" spans="1:3" ht="15.75" x14ac:dyDescent="0.25">
      <c r="A527" s="49">
        <v>526</v>
      </c>
      <c r="C527" s="51" t="s">
        <v>37</v>
      </c>
    </row>
    <row r="528" spans="1:3" ht="15.75" x14ac:dyDescent="0.25">
      <c r="A528" s="49">
        <v>527</v>
      </c>
      <c r="C528" s="51" t="s">
        <v>37</v>
      </c>
    </row>
    <row r="529" spans="1:3" ht="15.75" x14ac:dyDescent="0.25">
      <c r="A529" s="49">
        <v>528</v>
      </c>
      <c r="C529" s="51" t="s">
        <v>37</v>
      </c>
    </row>
    <row r="530" spans="1:3" ht="15.75" x14ac:dyDescent="0.25">
      <c r="A530" s="49">
        <v>529</v>
      </c>
      <c r="C530" s="51" t="s">
        <v>37</v>
      </c>
    </row>
    <row r="531" spans="1:3" ht="15.75" x14ac:dyDescent="0.25">
      <c r="A531" s="49">
        <v>530</v>
      </c>
      <c r="C531" s="51" t="s">
        <v>37</v>
      </c>
    </row>
    <row r="532" spans="1:3" ht="15.75" x14ac:dyDescent="0.25">
      <c r="A532" s="49">
        <v>531</v>
      </c>
      <c r="C532" s="51" t="s">
        <v>37</v>
      </c>
    </row>
    <row r="533" spans="1:3" ht="15.75" x14ac:dyDescent="0.25">
      <c r="A533" s="49">
        <v>532</v>
      </c>
      <c r="C533" s="51" t="s">
        <v>37</v>
      </c>
    </row>
    <row r="534" spans="1:3" ht="15.75" x14ac:dyDescent="0.25">
      <c r="A534" s="49">
        <v>533</v>
      </c>
      <c r="C534" s="51" t="s">
        <v>37</v>
      </c>
    </row>
    <row r="535" spans="1:3" ht="15.75" x14ac:dyDescent="0.25">
      <c r="A535" s="49">
        <v>534</v>
      </c>
      <c r="C535" s="51" t="s">
        <v>37</v>
      </c>
    </row>
    <row r="536" spans="1:3" ht="15.75" x14ac:dyDescent="0.25">
      <c r="A536" s="49">
        <v>535</v>
      </c>
      <c r="C536" s="51" t="s">
        <v>37</v>
      </c>
    </row>
    <row r="537" spans="1:3" ht="15.75" x14ac:dyDescent="0.25">
      <c r="A537" s="49">
        <v>536</v>
      </c>
      <c r="C537" s="51" t="s">
        <v>37</v>
      </c>
    </row>
    <row r="538" spans="1:3" ht="15.75" x14ac:dyDescent="0.25">
      <c r="A538" s="49">
        <v>537</v>
      </c>
      <c r="C538" s="51" t="s">
        <v>37</v>
      </c>
    </row>
    <row r="539" spans="1:3" ht="15.75" x14ac:dyDescent="0.25">
      <c r="A539" s="49">
        <v>538</v>
      </c>
      <c r="C539" s="51" t="s">
        <v>37</v>
      </c>
    </row>
    <row r="540" spans="1:3" ht="15.75" x14ac:dyDescent="0.25">
      <c r="A540" s="49">
        <v>539</v>
      </c>
      <c r="C540" s="51" t="s">
        <v>37</v>
      </c>
    </row>
    <row r="541" spans="1:3" ht="15.75" x14ac:dyDescent="0.25">
      <c r="A541" s="49">
        <v>540</v>
      </c>
      <c r="C541" s="51" t="s">
        <v>37</v>
      </c>
    </row>
    <row r="542" spans="1:3" ht="15.75" x14ac:dyDescent="0.25">
      <c r="A542" s="49">
        <v>541</v>
      </c>
      <c r="C542" s="51" t="s">
        <v>37</v>
      </c>
    </row>
    <row r="543" spans="1:3" ht="15.75" x14ac:dyDescent="0.25">
      <c r="A543" s="49">
        <v>542</v>
      </c>
      <c r="C543" s="51" t="s">
        <v>37</v>
      </c>
    </row>
    <row r="544" spans="1:3" ht="15.75" x14ac:dyDescent="0.25">
      <c r="A544" s="49">
        <v>543</v>
      </c>
      <c r="C544" s="51" t="s">
        <v>37</v>
      </c>
    </row>
    <row r="545" spans="1:3" ht="15.75" x14ac:dyDescent="0.25">
      <c r="A545" s="49">
        <v>544</v>
      </c>
      <c r="C545" s="51" t="s">
        <v>37</v>
      </c>
    </row>
    <row r="546" spans="1:3" ht="15.75" x14ac:dyDescent="0.25">
      <c r="A546" s="49">
        <v>545</v>
      </c>
      <c r="C546" s="51" t="s">
        <v>37</v>
      </c>
    </row>
    <row r="547" spans="1:3" ht="15.75" x14ac:dyDescent="0.25">
      <c r="A547" s="49">
        <v>546</v>
      </c>
      <c r="C547" s="51" t="s">
        <v>37</v>
      </c>
    </row>
    <row r="548" spans="1:3" ht="15.75" x14ac:dyDescent="0.25">
      <c r="A548" s="49">
        <v>547</v>
      </c>
      <c r="C548" s="51" t="s">
        <v>37</v>
      </c>
    </row>
    <row r="549" spans="1:3" ht="15.75" x14ac:dyDescent="0.25">
      <c r="A549" s="49">
        <v>548</v>
      </c>
      <c r="C549" s="51" t="s">
        <v>37</v>
      </c>
    </row>
    <row r="550" spans="1:3" ht="15.75" x14ac:dyDescent="0.25">
      <c r="A550" s="49">
        <v>549</v>
      </c>
      <c r="C550" s="51" t="s">
        <v>37</v>
      </c>
    </row>
    <row r="551" spans="1:3" ht="15.75" x14ac:dyDescent="0.25">
      <c r="A551" s="49">
        <v>550</v>
      </c>
      <c r="C551" s="51" t="s">
        <v>37</v>
      </c>
    </row>
    <row r="552" spans="1:3" ht="15.75" x14ac:dyDescent="0.25">
      <c r="A552" s="49">
        <v>551</v>
      </c>
      <c r="C552" s="51" t="s">
        <v>37</v>
      </c>
    </row>
    <row r="553" spans="1:3" ht="15.75" x14ac:dyDescent="0.25">
      <c r="A553" s="49">
        <v>552</v>
      </c>
      <c r="C553" s="51" t="s">
        <v>37</v>
      </c>
    </row>
    <row r="554" spans="1:3" ht="15.75" x14ac:dyDescent="0.25">
      <c r="A554" s="49">
        <v>553</v>
      </c>
      <c r="C554" s="51" t="s">
        <v>37</v>
      </c>
    </row>
    <row r="555" spans="1:3" ht="15.75" x14ac:dyDescent="0.25">
      <c r="A555" s="49">
        <v>554</v>
      </c>
      <c r="C555" s="51" t="s">
        <v>37</v>
      </c>
    </row>
    <row r="556" spans="1:3" ht="15.75" x14ac:dyDescent="0.25">
      <c r="A556" s="49">
        <v>555</v>
      </c>
      <c r="C556" s="51" t="s">
        <v>37</v>
      </c>
    </row>
    <row r="557" spans="1:3" ht="15.75" x14ac:dyDescent="0.25">
      <c r="A557" s="49">
        <v>556</v>
      </c>
      <c r="C557" s="51" t="s">
        <v>37</v>
      </c>
    </row>
    <row r="558" spans="1:3" ht="15.75" x14ac:dyDescent="0.25">
      <c r="A558" s="49">
        <v>557</v>
      </c>
      <c r="C558" s="51" t="s">
        <v>37</v>
      </c>
    </row>
    <row r="559" spans="1:3" ht="15.75" x14ac:dyDescent="0.25">
      <c r="A559" s="49">
        <v>558</v>
      </c>
      <c r="C559" s="51" t="s">
        <v>37</v>
      </c>
    </row>
    <row r="560" spans="1:3" ht="15.75" x14ac:dyDescent="0.25">
      <c r="A560" s="49">
        <v>559</v>
      </c>
      <c r="C560" s="51" t="s">
        <v>37</v>
      </c>
    </row>
    <row r="561" spans="1:3" ht="15.75" x14ac:dyDescent="0.25">
      <c r="A561" s="49">
        <v>560</v>
      </c>
      <c r="C561" s="51" t="s">
        <v>37</v>
      </c>
    </row>
    <row r="562" spans="1:3" ht="15.75" x14ac:dyDescent="0.25">
      <c r="A562" s="49">
        <v>561</v>
      </c>
      <c r="C562" s="51" t="s">
        <v>37</v>
      </c>
    </row>
    <row r="563" spans="1:3" ht="15.75" x14ac:dyDescent="0.25">
      <c r="A563" s="49">
        <v>562</v>
      </c>
      <c r="C563" s="51" t="s">
        <v>37</v>
      </c>
    </row>
    <row r="564" spans="1:3" ht="15.75" x14ac:dyDescent="0.25">
      <c r="A564" s="49">
        <v>563</v>
      </c>
      <c r="C564" s="51" t="s">
        <v>37</v>
      </c>
    </row>
    <row r="565" spans="1:3" ht="15.75" x14ac:dyDescent="0.25">
      <c r="A565" s="49">
        <v>564</v>
      </c>
      <c r="C565" s="51" t="s">
        <v>37</v>
      </c>
    </row>
    <row r="566" spans="1:3" ht="15.75" x14ac:dyDescent="0.25">
      <c r="A566" s="49">
        <v>565</v>
      </c>
      <c r="C566" s="51" t="s">
        <v>37</v>
      </c>
    </row>
    <row r="567" spans="1:3" ht="15.75" x14ac:dyDescent="0.25">
      <c r="A567" s="49">
        <v>566</v>
      </c>
      <c r="C567" s="51" t="s">
        <v>37</v>
      </c>
    </row>
    <row r="568" spans="1:3" ht="15.75" x14ac:dyDescent="0.25">
      <c r="A568" s="49">
        <v>567</v>
      </c>
      <c r="C568" s="51" t="s">
        <v>37</v>
      </c>
    </row>
    <row r="569" spans="1:3" ht="15.75" x14ac:dyDescent="0.25">
      <c r="A569" s="49">
        <v>568</v>
      </c>
      <c r="C569" s="51" t="s">
        <v>37</v>
      </c>
    </row>
    <row r="570" spans="1:3" ht="15.75" x14ac:dyDescent="0.25">
      <c r="A570" s="49">
        <v>569</v>
      </c>
      <c r="C570" s="51" t="s">
        <v>37</v>
      </c>
    </row>
    <row r="571" spans="1:3" ht="15.75" x14ac:dyDescent="0.25">
      <c r="A571" s="49">
        <v>570</v>
      </c>
      <c r="C571" s="51" t="s">
        <v>37</v>
      </c>
    </row>
    <row r="572" spans="1:3" ht="15.75" x14ac:dyDescent="0.25">
      <c r="A572" s="49">
        <v>571</v>
      </c>
      <c r="C572" s="51" t="s">
        <v>37</v>
      </c>
    </row>
    <row r="573" spans="1:3" ht="15.75" x14ac:dyDescent="0.25">
      <c r="A573" s="49">
        <v>572</v>
      </c>
      <c r="C573" s="51" t="s">
        <v>37</v>
      </c>
    </row>
    <row r="574" spans="1:3" ht="15.75" x14ac:dyDescent="0.25">
      <c r="A574" s="49">
        <v>573</v>
      </c>
      <c r="C574" s="51" t="s">
        <v>37</v>
      </c>
    </row>
    <row r="575" spans="1:3" ht="15.75" x14ac:dyDescent="0.25">
      <c r="A575" s="49">
        <v>574</v>
      </c>
      <c r="C575" s="51" t="s">
        <v>37</v>
      </c>
    </row>
    <row r="576" spans="1:3" ht="15.75" x14ac:dyDescent="0.25">
      <c r="A576" s="49">
        <v>575</v>
      </c>
      <c r="C576" s="51" t="s">
        <v>37</v>
      </c>
    </row>
    <row r="577" spans="1:3" ht="15.75" x14ac:dyDescent="0.25">
      <c r="A577" s="49">
        <v>576</v>
      </c>
      <c r="C577" s="51" t="s">
        <v>37</v>
      </c>
    </row>
    <row r="578" spans="1:3" ht="15.75" x14ac:dyDescent="0.25">
      <c r="A578" s="49">
        <v>577</v>
      </c>
      <c r="C578" s="51" t="s">
        <v>37</v>
      </c>
    </row>
    <row r="579" spans="1:3" ht="15.75" x14ac:dyDescent="0.25">
      <c r="A579" s="49">
        <v>578</v>
      </c>
      <c r="C579" s="51" t="s">
        <v>37</v>
      </c>
    </row>
    <row r="580" spans="1:3" ht="15.75" x14ac:dyDescent="0.25">
      <c r="A580" s="49">
        <v>579</v>
      </c>
      <c r="C580" s="51" t="s">
        <v>37</v>
      </c>
    </row>
    <row r="581" spans="1:3" ht="15.75" x14ac:dyDescent="0.25">
      <c r="A581" s="49">
        <v>580</v>
      </c>
      <c r="C581" s="51" t="s">
        <v>37</v>
      </c>
    </row>
    <row r="582" spans="1:3" ht="15.75" x14ac:dyDescent="0.25">
      <c r="A582" s="49">
        <v>581</v>
      </c>
      <c r="C582" s="51" t="s">
        <v>37</v>
      </c>
    </row>
    <row r="583" spans="1:3" ht="15.75" x14ac:dyDescent="0.25">
      <c r="A583" s="49">
        <v>582</v>
      </c>
      <c r="C583" s="51" t="s">
        <v>37</v>
      </c>
    </row>
    <row r="584" spans="1:3" ht="15.75" x14ac:dyDescent="0.25">
      <c r="A584" s="49">
        <v>583</v>
      </c>
      <c r="C584" s="51" t="s">
        <v>37</v>
      </c>
    </row>
    <row r="585" spans="1:3" ht="15.75" x14ac:dyDescent="0.25">
      <c r="A585" s="49">
        <v>584</v>
      </c>
      <c r="C585" s="51" t="s">
        <v>37</v>
      </c>
    </row>
    <row r="586" spans="1:3" ht="15.75" x14ac:dyDescent="0.25">
      <c r="A586" s="49">
        <v>585</v>
      </c>
      <c r="C586" s="51" t="s">
        <v>37</v>
      </c>
    </row>
    <row r="587" spans="1:3" ht="15.75" x14ac:dyDescent="0.25">
      <c r="A587" s="49">
        <v>586</v>
      </c>
      <c r="C587" s="51" t="s">
        <v>37</v>
      </c>
    </row>
    <row r="588" spans="1:3" ht="15.75" x14ac:dyDescent="0.25">
      <c r="A588" s="49">
        <v>587</v>
      </c>
      <c r="C588" s="51" t="s">
        <v>37</v>
      </c>
    </row>
    <row r="589" spans="1:3" ht="15.75" x14ac:dyDescent="0.25">
      <c r="A589" s="49">
        <v>588</v>
      </c>
      <c r="C589" s="51" t="s">
        <v>37</v>
      </c>
    </row>
    <row r="590" spans="1:3" ht="15.75" x14ac:dyDescent="0.25">
      <c r="A590" s="49">
        <v>589</v>
      </c>
      <c r="C590" s="51" t="s">
        <v>37</v>
      </c>
    </row>
    <row r="591" spans="1:3" ht="15.75" x14ac:dyDescent="0.25">
      <c r="A591" s="49">
        <v>590</v>
      </c>
      <c r="C591" s="51" t="s">
        <v>37</v>
      </c>
    </row>
    <row r="592" spans="1:3" ht="15.75" x14ac:dyDescent="0.25">
      <c r="A592" s="49">
        <v>591</v>
      </c>
      <c r="C592" s="51" t="s">
        <v>37</v>
      </c>
    </row>
    <row r="593" spans="1:3" ht="15.75" x14ac:dyDescent="0.25">
      <c r="A593" s="49">
        <v>592</v>
      </c>
      <c r="C593" s="51" t="s">
        <v>37</v>
      </c>
    </row>
    <row r="594" spans="1:3" ht="15.75" x14ac:dyDescent="0.25">
      <c r="A594" s="49">
        <v>593</v>
      </c>
      <c r="C594" s="51" t="s">
        <v>37</v>
      </c>
    </row>
    <row r="595" spans="1:3" ht="15.75" x14ac:dyDescent="0.25">
      <c r="A595" s="49">
        <v>594</v>
      </c>
      <c r="C595" s="51" t="s">
        <v>37</v>
      </c>
    </row>
    <row r="596" spans="1:3" ht="15.75" x14ac:dyDescent="0.25">
      <c r="A596" s="49">
        <v>595</v>
      </c>
      <c r="C596" s="51" t="s">
        <v>37</v>
      </c>
    </row>
    <row r="597" spans="1:3" ht="15.75" x14ac:dyDescent="0.25">
      <c r="A597" s="49">
        <v>596</v>
      </c>
      <c r="C597" s="51" t="s">
        <v>37</v>
      </c>
    </row>
    <row r="598" spans="1:3" ht="15.75" x14ac:dyDescent="0.25">
      <c r="A598" s="49">
        <v>597</v>
      </c>
      <c r="C598" s="51" t="s">
        <v>37</v>
      </c>
    </row>
    <row r="599" spans="1:3" ht="15.75" x14ac:dyDescent="0.25">
      <c r="A599" s="49">
        <v>598</v>
      </c>
      <c r="C599" s="51" t="s">
        <v>37</v>
      </c>
    </row>
    <row r="600" spans="1:3" ht="15.75" x14ac:dyDescent="0.25">
      <c r="A600" s="49">
        <v>599</v>
      </c>
      <c r="C600" s="51" t="s">
        <v>37</v>
      </c>
    </row>
    <row r="601" spans="1:3" ht="15.75" x14ac:dyDescent="0.25">
      <c r="A601" s="49">
        <v>600</v>
      </c>
      <c r="C601" s="51" t="s">
        <v>37</v>
      </c>
    </row>
    <row r="602" spans="1:3" ht="15.75" x14ac:dyDescent="0.25">
      <c r="A602" s="49">
        <v>601</v>
      </c>
      <c r="C602" s="51" t="s">
        <v>37</v>
      </c>
    </row>
    <row r="603" spans="1:3" ht="15.75" x14ac:dyDescent="0.25">
      <c r="A603" s="49">
        <v>602</v>
      </c>
      <c r="C603" s="51" t="s">
        <v>37</v>
      </c>
    </row>
    <row r="604" spans="1:3" ht="15.75" x14ac:dyDescent="0.25">
      <c r="A604" s="49">
        <v>603</v>
      </c>
      <c r="C604" s="51" t="s">
        <v>37</v>
      </c>
    </row>
    <row r="605" spans="1:3" ht="15.75" x14ac:dyDescent="0.25">
      <c r="A605" s="49">
        <v>604</v>
      </c>
      <c r="C605" s="51" t="s">
        <v>37</v>
      </c>
    </row>
    <row r="606" spans="1:3" ht="15.75" x14ac:dyDescent="0.25">
      <c r="A606" s="49">
        <v>605</v>
      </c>
      <c r="C606" s="51" t="s">
        <v>37</v>
      </c>
    </row>
    <row r="607" spans="1:3" ht="15.75" x14ac:dyDescent="0.25">
      <c r="A607" s="49">
        <v>606</v>
      </c>
      <c r="C607" s="51" t="s">
        <v>37</v>
      </c>
    </row>
    <row r="608" spans="1:3" ht="15.75" x14ac:dyDescent="0.25">
      <c r="A608" s="49">
        <v>607</v>
      </c>
      <c r="C608" s="51" t="s">
        <v>37</v>
      </c>
    </row>
    <row r="609" spans="1:3" ht="15.75" x14ac:dyDescent="0.25">
      <c r="A609" s="49">
        <v>608</v>
      </c>
      <c r="C609" s="51" t="s">
        <v>37</v>
      </c>
    </row>
    <row r="610" spans="1:3" ht="15.75" x14ac:dyDescent="0.25">
      <c r="A610" s="49">
        <v>609</v>
      </c>
      <c r="C610" s="51" t="s">
        <v>37</v>
      </c>
    </row>
    <row r="611" spans="1:3" ht="15.75" x14ac:dyDescent="0.25">
      <c r="A611" s="49">
        <v>610</v>
      </c>
      <c r="C611" s="51" t="s">
        <v>37</v>
      </c>
    </row>
    <row r="612" spans="1:3" ht="15.75" x14ac:dyDescent="0.25">
      <c r="A612" s="49">
        <v>611</v>
      </c>
      <c r="C612" s="51" t="s">
        <v>37</v>
      </c>
    </row>
    <row r="613" spans="1:3" ht="15.75" x14ac:dyDescent="0.25">
      <c r="A613" s="49">
        <v>612</v>
      </c>
      <c r="C613" s="51" t="s">
        <v>37</v>
      </c>
    </row>
    <row r="614" spans="1:3" ht="15.75" x14ac:dyDescent="0.25">
      <c r="A614" s="49">
        <v>613</v>
      </c>
      <c r="C614" s="51" t="s">
        <v>37</v>
      </c>
    </row>
    <row r="615" spans="1:3" ht="15.75" x14ac:dyDescent="0.25">
      <c r="A615" s="49">
        <v>614</v>
      </c>
      <c r="C615" s="51" t="s">
        <v>37</v>
      </c>
    </row>
    <row r="616" spans="1:3" ht="15.75" x14ac:dyDescent="0.25">
      <c r="A616" s="49">
        <v>615</v>
      </c>
      <c r="C616" s="51" t="s">
        <v>37</v>
      </c>
    </row>
    <row r="617" spans="1:3" ht="15.75" x14ac:dyDescent="0.25">
      <c r="A617" s="49">
        <v>616</v>
      </c>
      <c r="C617" s="51" t="s">
        <v>37</v>
      </c>
    </row>
    <row r="618" spans="1:3" ht="15.75" x14ac:dyDescent="0.25">
      <c r="A618" s="49">
        <v>617</v>
      </c>
      <c r="C618" s="51" t="s">
        <v>37</v>
      </c>
    </row>
    <row r="619" spans="1:3" ht="15.75" x14ac:dyDescent="0.25">
      <c r="A619" s="49">
        <v>618</v>
      </c>
      <c r="C619" s="51" t="s">
        <v>37</v>
      </c>
    </row>
    <row r="620" spans="1:3" ht="15.75" x14ac:dyDescent="0.25">
      <c r="A620" s="49">
        <v>619</v>
      </c>
      <c r="C620" s="51" t="s">
        <v>37</v>
      </c>
    </row>
    <row r="621" spans="1:3" ht="15.75" x14ac:dyDescent="0.25">
      <c r="A621" s="49">
        <v>620</v>
      </c>
      <c r="C621" s="51" t="s">
        <v>37</v>
      </c>
    </row>
    <row r="622" spans="1:3" ht="15.75" x14ac:dyDescent="0.25">
      <c r="A622" s="49">
        <v>621</v>
      </c>
      <c r="C622" s="51" t="s">
        <v>37</v>
      </c>
    </row>
    <row r="623" spans="1:3" ht="15.75" x14ac:dyDescent="0.25">
      <c r="A623" s="49">
        <v>622</v>
      </c>
      <c r="C623" s="51" t="s">
        <v>37</v>
      </c>
    </row>
    <row r="624" spans="1:3" ht="15.75" x14ac:dyDescent="0.25">
      <c r="A624" s="49">
        <v>623</v>
      </c>
      <c r="C624" s="51" t="s">
        <v>37</v>
      </c>
    </row>
    <row r="625" spans="1:3" ht="15.75" x14ac:dyDescent="0.25">
      <c r="A625" s="49">
        <v>624</v>
      </c>
      <c r="C625" s="51" t="s">
        <v>37</v>
      </c>
    </row>
    <row r="626" spans="1:3" ht="15.75" x14ac:dyDescent="0.25">
      <c r="A626" s="49">
        <v>625</v>
      </c>
      <c r="C626" s="51" t="s">
        <v>37</v>
      </c>
    </row>
    <row r="627" spans="1:3" ht="15.75" x14ac:dyDescent="0.25">
      <c r="A627" s="49">
        <v>626</v>
      </c>
      <c r="C627" s="51" t="s">
        <v>37</v>
      </c>
    </row>
    <row r="628" spans="1:3" ht="15.75" x14ac:dyDescent="0.25">
      <c r="A628" s="49">
        <v>627</v>
      </c>
      <c r="C628" s="51" t="s">
        <v>37</v>
      </c>
    </row>
    <row r="629" spans="1:3" ht="15.75" x14ac:dyDescent="0.25">
      <c r="A629" s="49">
        <v>628</v>
      </c>
      <c r="C629" s="51" t="s">
        <v>37</v>
      </c>
    </row>
    <row r="630" spans="1:3" ht="15.75" x14ac:dyDescent="0.25">
      <c r="A630" s="49">
        <v>629</v>
      </c>
      <c r="C630" s="51" t="s">
        <v>37</v>
      </c>
    </row>
    <row r="631" spans="1:3" ht="15.75" x14ac:dyDescent="0.25">
      <c r="A631" s="49">
        <v>630</v>
      </c>
      <c r="C631" s="51" t="s">
        <v>37</v>
      </c>
    </row>
    <row r="632" spans="1:3" ht="15.75" x14ac:dyDescent="0.25">
      <c r="A632" s="49">
        <v>631</v>
      </c>
      <c r="C632" s="51" t="s">
        <v>37</v>
      </c>
    </row>
    <row r="633" spans="1:3" ht="15.75" x14ac:dyDescent="0.25">
      <c r="A633" s="49">
        <v>632</v>
      </c>
      <c r="C633" s="51" t="s">
        <v>37</v>
      </c>
    </row>
    <row r="634" spans="1:3" ht="15.75" x14ac:dyDescent="0.25">
      <c r="A634" s="49">
        <v>633</v>
      </c>
      <c r="C634" s="51" t="s">
        <v>37</v>
      </c>
    </row>
    <row r="635" spans="1:3" ht="15.75" x14ac:dyDescent="0.25">
      <c r="A635" s="49">
        <v>634</v>
      </c>
      <c r="C635" s="51" t="s">
        <v>37</v>
      </c>
    </row>
    <row r="636" spans="1:3" ht="15.75" x14ac:dyDescent="0.25">
      <c r="A636" s="49">
        <v>635</v>
      </c>
      <c r="C636" s="51" t="s">
        <v>37</v>
      </c>
    </row>
    <row r="637" spans="1:3" ht="15.75" x14ac:dyDescent="0.25">
      <c r="A637" s="49">
        <v>636</v>
      </c>
      <c r="C637" s="51" t="s">
        <v>37</v>
      </c>
    </row>
    <row r="638" spans="1:3" ht="15.75" x14ac:dyDescent="0.25">
      <c r="A638" s="49">
        <v>637</v>
      </c>
      <c r="C638" s="51" t="s">
        <v>37</v>
      </c>
    </row>
    <row r="639" spans="1:3" ht="15.75" x14ac:dyDescent="0.25">
      <c r="A639" s="49">
        <v>638</v>
      </c>
      <c r="C639" s="51" t="s">
        <v>37</v>
      </c>
    </row>
    <row r="640" spans="1:3" ht="15.75" x14ac:dyDescent="0.25">
      <c r="A640" s="49">
        <v>639</v>
      </c>
      <c r="C640" s="51" t="s">
        <v>37</v>
      </c>
    </row>
    <row r="641" spans="1:3" ht="15.75" x14ac:dyDescent="0.25">
      <c r="A641" s="49">
        <v>640</v>
      </c>
      <c r="C641" s="51" t="s">
        <v>37</v>
      </c>
    </row>
    <row r="642" spans="1:3" ht="15.75" x14ac:dyDescent="0.25">
      <c r="A642" s="49">
        <v>641</v>
      </c>
      <c r="C642" s="51" t="s">
        <v>37</v>
      </c>
    </row>
    <row r="643" spans="1:3" ht="15.75" x14ac:dyDescent="0.25">
      <c r="A643" s="49">
        <v>642</v>
      </c>
      <c r="C643" s="51" t="s">
        <v>37</v>
      </c>
    </row>
    <row r="644" spans="1:3" ht="15.75" x14ac:dyDescent="0.25">
      <c r="A644" s="49">
        <v>643</v>
      </c>
      <c r="C644" s="51" t="s">
        <v>37</v>
      </c>
    </row>
    <row r="645" spans="1:3" ht="15.75" x14ac:dyDescent="0.25">
      <c r="A645" s="49">
        <v>644</v>
      </c>
      <c r="C645" s="51" t="s">
        <v>37</v>
      </c>
    </row>
    <row r="646" spans="1:3" ht="15.75" x14ac:dyDescent="0.25">
      <c r="A646" s="49">
        <v>645</v>
      </c>
      <c r="C646" s="51" t="s">
        <v>37</v>
      </c>
    </row>
    <row r="647" spans="1:3" ht="15.75" x14ac:dyDescent="0.25">
      <c r="A647" s="49">
        <v>646</v>
      </c>
      <c r="C647" s="51" t="s">
        <v>37</v>
      </c>
    </row>
    <row r="648" spans="1:3" ht="15.75" x14ac:dyDescent="0.25">
      <c r="A648" s="49">
        <v>647</v>
      </c>
      <c r="C648" s="51" t="s">
        <v>37</v>
      </c>
    </row>
    <row r="649" spans="1:3" ht="15.75" x14ac:dyDescent="0.25">
      <c r="A649" s="49">
        <v>648</v>
      </c>
      <c r="C649" s="51" t="s">
        <v>37</v>
      </c>
    </row>
    <row r="650" spans="1:3" ht="15.75" x14ac:dyDescent="0.25">
      <c r="A650" s="49">
        <v>649</v>
      </c>
      <c r="C650" s="51" t="s">
        <v>37</v>
      </c>
    </row>
    <row r="651" spans="1:3" ht="15.75" x14ac:dyDescent="0.25">
      <c r="A651" s="49">
        <v>650</v>
      </c>
      <c r="C651" s="51" t="s">
        <v>37</v>
      </c>
    </row>
    <row r="652" spans="1:3" ht="15.75" x14ac:dyDescent="0.25">
      <c r="A652" s="49">
        <v>651</v>
      </c>
      <c r="C652" s="51" t="s">
        <v>37</v>
      </c>
    </row>
    <row r="653" spans="1:3" ht="15.75" x14ac:dyDescent="0.25">
      <c r="A653" s="49">
        <v>652</v>
      </c>
      <c r="C653" s="51" t="s">
        <v>37</v>
      </c>
    </row>
    <row r="654" spans="1:3" ht="15.75" x14ac:dyDescent="0.25">
      <c r="A654" s="49">
        <v>653</v>
      </c>
      <c r="C654" s="51" t="s">
        <v>37</v>
      </c>
    </row>
    <row r="655" spans="1:3" ht="15.75" x14ac:dyDescent="0.25">
      <c r="A655" s="49">
        <v>654</v>
      </c>
      <c r="C655" s="51" t="s">
        <v>37</v>
      </c>
    </row>
    <row r="656" spans="1:3" ht="15.75" x14ac:dyDescent="0.25">
      <c r="A656" s="49">
        <v>655</v>
      </c>
      <c r="C656" s="51" t="s">
        <v>37</v>
      </c>
    </row>
    <row r="657" spans="1:3" ht="15.75" x14ac:dyDescent="0.25">
      <c r="A657" s="49">
        <v>656</v>
      </c>
      <c r="C657" s="51" t="s">
        <v>37</v>
      </c>
    </row>
    <row r="658" spans="1:3" ht="15.75" x14ac:dyDescent="0.25">
      <c r="A658" s="49">
        <v>657</v>
      </c>
      <c r="C658" s="51" t="s">
        <v>37</v>
      </c>
    </row>
    <row r="659" spans="1:3" ht="15.75" x14ac:dyDescent="0.25">
      <c r="A659" s="49">
        <v>658</v>
      </c>
      <c r="C659" s="51" t="s">
        <v>37</v>
      </c>
    </row>
    <row r="660" spans="1:3" ht="15.75" x14ac:dyDescent="0.25">
      <c r="A660" s="49">
        <v>659</v>
      </c>
      <c r="C660" s="51" t="s">
        <v>37</v>
      </c>
    </row>
    <row r="661" spans="1:3" ht="15.75" x14ac:dyDescent="0.25">
      <c r="A661" s="49">
        <v>660</v>
      </c>
      <c r="C661" s="51" t="s">
        <v>37</v>
      </c>
    </row>
    <row r="662" spans="1:3" ht="15.75" x14ac:dyDescent="0.25">
      <c r="A662" s="49">
        <v>661</v>
      </c>
      <c r="C662" s="51" t="s">
        <v>37</v>
      </c>
    </row>
    <row r="663" spans="1:3" ht="15.75" x14ac:dyDescent="0.25">
      <c r="A663" s="49">
        <v>662</v>
      </c>
      <c r="C663" s="51" t="s">
        <v>37</v>
      </c>
    </row>
    <row r="664" spans="1:3" ht="15.75" x14ac:dyDescent="0.25">
      <c r="A664" s="49">
        <v>663</v>
      </c>
      <c r="C664" s="51" t="s">
        <v>37</v>
      </c>
    </row>
    <row r="665" spans="1:3" ht="15.75" x14ac:dyDescent="0.25">
      <c r="A665" s="49">
        <v>664</v>
      </c>
      <c r="C665" s="51" t="s">
        <v>37</v>
      </c>
    </row>
    <row r="666" spans="1:3" ht="15.75" x14ac:dyDescent="0.25">
      <c r="A666" s="49">
        <v>665</v>
      </c>
      <c r="C666" s="51" t="s">
        <v>37</v>
      </c>
    </row>
    <row r="667" spans="1:3" ht="15.75" x14ac:dyDescent="0.25">
      <c r="A667" s="49">
        <v>666</v>
      </c>
      <c r="C667" s="51" t="s">
        <v>37</v>
      </c>
    </row>
    <row r="668" spans="1:3" ht="15.75" x14ac:dyDescent="0.25">
      <c r="A668" s="49">
        <v>667</v>
      </c>
      <c r="C668" s="51" t="s">
        <v>37</v>
      </c>
    </row>
    <row r="669" spans="1:3" ht="15.75" x14ac:dyDescent="0.25">
      <c r="A669" s="49">
        <v>668</v>
      </c>
      <c r="C669" s="51" t="s">
        <v>37</v>
      </c>
    </row>
    <row r="670" spans="1:3" ht="15.75" x14ac:dyDescent="0.25">
      <c r="A670" s="49">
        <v>669</v>
      </c>
      <c r="C670" s="51" t="s">
        <v>37</v>
      </c>
    </row>
    <row r="671" spans="1:3" ht="15.75" x14ac:dyDescent="0.25">
      <c r="A671" s="49">
        <v>670</v>
      </c>
      <c r="C671" s="51" t="s">
        <v>37</v>
      </c>
    </row>
    <row r="672" spans="1:3" ht="15.75" x14ac:dyDescent="0.25">
      <c r="A672" s="49">
        <v>671</v>
      </c>
      <c r="C672" s="51" t="s">
        <v>37</v>
      </c>
    </row>
    <row r="673" spans="1:3" ht="15.75" x14ac:dyDescent="0.25">
      <c r="A673" s="49">
        <v>672</v>
      </c>
      <c r="C673" s="51" t="s">
        <v>37</v>
      </c>
    </row>
    <row r="674" spans="1:3" ht="15.75" x14ac:dyDescent="0.25">
      <c r="A674" s="49">
        <v>673</v>
      </c>
      <c r="C674" s="51" t="s">
        <v>37</v>
      </c>
    </row>
    <row r="675" spans="1:3" ht="15.75" x14ac:dyDescent="0.25">
      <c r="A675" s="49">
        <v>674</v>
      </c>
      <c r="C675" s="51" t="s">
        <v>37</v>
      </c>
    </row>
    <row r="676" spans="1:3" ht="15.75" x14ac:dyDescent="0.25">
      <c r="A676" s="49">
        <v>675</v>
      </c>
      <c r="C676" s="51" t="s">
        <v>37</v>
      </c>
    </row>
    <row r="677" spans="1:3" ht="15.75" x14ac:dyDescent="0.25">
      <c r="A677" s="49">
        <v>676</v>
      </c>
      <c r="C677" s="51" t="s">
        <v>37</v>
      </c>
    </row>
    <row r="678" spans="1:3" ht="15.75" x14ac:dyDescent="0.25">
      <c r="A678" s="49">
        <v>677</v>
      </c>
      <c r="C678" s="51" t="s">
        <v>37</v>
      </c>
    </row>
    <row r="679" spans="1:3" ht="15.75" x14ac:dyDescent="0.25">
      <c r="A679" s="49">
        <v>678</v>
      </c>
      <c r="C679" s="51" t="s">
        <v>37</v>
      </c>
    </row>
    <row r="680" spans="1:3" ht="15.75" x14ac:dyDescent="0.25">
      <c r="A680" s="49">
        <v>679</v>
      </c>
      <c r="C680" s="51" t="s">
        <v>37</v>
      </c>
    </row>
    <row r="681" spans="1:3" ht="15.75" x14ac:dyDescent="0.25">
      <c r="A681" s="49">
        <v>680</v>
      </c>
      <c r="C681" s="51" t="s">
        <v>37</v>
      </c>
    </row>
    <row r="682" spans="1:3" ht="15.75" x14ac:dyDescent="0.25">
      <c r="A682" s="49">
        <v>681</v>
      </c>
      <c r="C682" s="51" t="s">
        <v>37</v>
      </c>
    </row>
    <row r="683" spans="1:3" ht="15.75" x14ac:dyDescent="0.25">
      <c r="A683" s="49">
        <v>682</v>
      </c>
      <c r="C683" s="51" t="s">
        <v>37</v>
      </c>
    </row>
    <row r="684" spans="1:3" ht="15.75" x14ac:dyDescent="0.25">
      <c r="A684" s="49">
        <v>683</v>
      </c>
      <c r="C684" s="51" t="s">
        <v>37</v>
      </c>
    </row>
    <row r="685" spans="1:3" ht="15.75" x14ac:dyDescent="0.25">
      <c r="A685" s="49">
        <v>684</v>
      </c>
      <c r="C685" s="51" t="s">
        <v>37</v>
      </c>
    </row>
    <row r="686" spans="1:3" ht="15.75" x14ac:dyDescent="0.25">
      <c r="A686" s="49">
        <v>685</v>
      </c>
      <c r="C686" s="51" t="s">
        <v>37</v>
      </c>
    </row>
    <row r="687" spans="1:3" ht="15.75" x14ac:dyDescent="0.25">
      <c r="A687" s="49">
        <v>686</v>
      </c>
      <c r="C687" s="51" t="s">
        <v>37</v>
      </c>
    </row>
    <row r="688" spans="1:3" ht="15.75" x14ac:dyDescent="0.25">
      <c r="A688" s="49">
        <v>687</v>
      </c>
      <c r="C688" s="51" t="s">
        <v>37</v>
      </c>
    </row>
    <row r="689" spans="1:3" ht="15.75" x14ac:dyDescent="0.25">
      <c r="A689" s="49">
        <v>688</v>
      </c>
      <c r="C689" s="51" t="s">
        <v>37</v>
      </c>
    </row>
    <row r="690" spans="1:3" ht="15.75" x14ac:dyDescent="0.25">
      <c r="A690" s="49">
        <v>689</v>
      </c>
      <c r="C690" s="51" t="s">
        <v>37</v>
      </c>
    </row>
    <row r="691" spans="1:3" ht="15.75" x14ac:dyDescent="0.25">
      <c r="A691" s="49">
        <v>690</v>
      </c>
      <c r="C691" s="51" t="s">
        <v>37</v>
      </c>
    </row>
    <row r="692" spans="1:3" ht="15.75" x14ac:dyDescent="0.25">
      <c r="A692" s="49">
        <v>691</v>
      </c>
      <c r="C692" s="51" t="s">
        <v>37</v>
      </c>
    </row>
    <row r="693" spans="1:3" ht="15.75" x14ac:dyDescent="0.25">
      <c r="A693" s="49">
        <v>692</v>
      </c>
      <c r="C693" s="51" t="s">
        <v>37</v>
      </c>
    </row>
    <row r="694" spans="1:3" ht="15.75" x14ac:dyDescent="0.25">
      <c r="A694" s="49">
        <v>693</v>
      </c>
      <c r="C694" s="51" t="s">
        <v>37</v>
      </c>
    </row>
    <row r="695" spans="1:3" ht="15.75" x14ac:dyDescent="0.25">
      <c r="A695" s="49">
        <v>694</v>
      </c>
      <c r="C695" s="51" t="s">
        <v>37</v>
      </c>
    </row>
    <row r="696" spans="1:3" ht="15.75" x14ac:dyDescent="0.25">
      <c r="A696" s="49">
        <v>695</v>
      </c>
      <c r="C696" s="51" t="s">
        <v>37</v>
      </c>
    </row>
    <row r="697" spans="1:3" ht="15.75" x14ac:dyDescent="0.25">
      <c r="A697" s="49">
        <v>696</v>
      </c>
      <c r="C697" s="51" t="s">
        <v>37</v>
      </c>
    </row>
    <row r="698" spans="1:3" ht="15.75" x14ac:dyDescent="0.25">
      <c r="A698" s="49">
        <v>697</v>
      </c>
      <c r="C698" s="51" t="s">
        <v>37</v>
      </c>
    </row>
    <row r="699" spans="1:3" ht="15.75" x14ac:dyDescent="0.25">
      <c r="A699" s="49">
        <v>698</v>
      </c>
      <c r="C699" s="51" t="s">
        <v>37</v>
      </c>
    </row>
    <row r="700" spans="1:3" ht="15.75" x14ac:dyDescent="0.25">
      <c r="A700" s="49">
        <v>699</v>
      </c>
      <c r="C700" s="51" t="s">
        <v>37</v>
      </c>
    </row>
    <row r="701" spans="1:3" ht="15.75" x14ac:dyDescent="0.25">
      <c r="A701" s="49">
        <v>700</v>
      </c>
      <c r="C701" s="51" t="s">
        <v>37</v>
      </c>
    </row>
    <row r="702" spans="1:3" ht="15.75" x14ac:dyDescent="0.25">
      <c r="A702" s="49">
        <v>701</v>
      </c>
      <c r="C702" s="51" t="s">
        <v>37</v>
      </c>
    </row>
    <row r="703" spans="1:3" ht="15.75" x14ac:dyDescent="0.25">
      <c r="A703" s="49">
        <v>702</v>
      </c>
      <c r="C703" s="51" t="s">
        <v>37</v>
      </c>
    </row>
    <row r="704" spans="1:3" ht="15.75" x14ac:dyDescent="0.25">
      <c r="A704" s="49">
        <v>703</v>
      </c>
      <c r="C704" s="51" t="s">
        <v>37</v>
      </c>
    </row>
    <row r="705" spans="1:3" ht="15.75" x14ac:dyDescent="0.25">
      <c r="A705" s="49">
        <v>704</v>
      </c>
      <c r="C705" s="51" t="s">
        <v>37</v>
      </c>
    </row>
    <row r="706" spans="1:3" ht="15.75" x14ac:dyDescent="0.25">
      <c r="A706" s="49">
        <v>705</v>
      </c>
      <c r="C706" s="51" t="s">
        <v>37</v>
      </c>
    </row>
    <row r="707" spans="1:3" ht="15.75" x14ac:dyDescent="0.25">
      <c r="A707" s="49">
        <v>706</v>
      </c>
      <c r="C707" s="51" t="s">
        <v>37</v>
      </c>
    </row>
    <row r="708" spans="1:3" ht="15.75" x14ac:dyDescent="0.25">
      <c r="A708" s="49">
        <v>707</v>
      </c>
      <c r="C708" s="51" t="s">
        <v>37</v>
      </c>
    </row>
    <row r="709" spans="1:3" ht="15.75" x14ac:dyDescent="0.25">
      <c r="A709" s="49">
        <v>708</v>
      </c>
      <c r="C709" s="51" t="s">
        <v>37</v>
      </c>
    </row>
    <row r="710" spans="1:3" ht="15.75" x14ac:dyDescent="0.25">
      <c r="A710" s="49">
        <v>709</v>
      </c>
      <c r="C710" s="51" t="s">
        <v>37</v>
      </c>
    </row>
    <row r="711" spans="1:3" ht="15.75" x14ac:dyDescent="0.25">
      <c r="A711" s="49">
        <v>710</v>
      </c>
      <c r="C711" s="51" t="s">
        <v>37</v>
      </c>
    </row>
    <row r="712" spans="1:3" ht="15.75" x14ac:dyDescent="0.25">
      <c r="A712" s="49">
        <v>711</v>
      </c>
      <c r="C712" s="51" t="s">
        <v>37</v>
      </c>
    </row>
    <row r="713" spans="1:3" ht="15.75" x14ac:dyDescent="0.25">
      <c r="A713" s="49">
        <v>712</v>
      </c>
      <c r="C713" s="51" t="s">
        <v>37</v>
      </c>
    </row>
    <row r="714" spans="1:3" ht="15.75" x14ac:dyDescent="0.25">
      <c r="A714" s="49">
        <v>713</v>
      </c>
      <c r="C714" s="51" t="s">
        <v>37</v>
      </c>
    </row>
    <row r="715" spans="1:3" ht="15.75" x14ac:dyDescent="0.25">
      <c r="A715" s="49">
        <v>714</v>
      </c>
      <c r="C715" s="51" t="s">
        <v>37</v>
      </c>
    </row>
    <row r="716" spans="1:3" ht="15.75" x14ac:dyDescent="0.25">
      <c r="A716" s="49">
        <v>715</v>
      </c>
      <c r="C716" s="51" t="s">
        <v>37</v>
      </c>
    </row>
    <row r="717" spans="1:3" ht="15.75" x14ac:dyDescent="0.25">
      <c r="A717" s="49">
        <v>716</v>
      </c>
      <c r="C717" s="51" t="s">
        <v>37</v>
      </c>
    </row>
    <row r="718" spans="1:3" ht="15.75" x14ac:dyDescent="0.25">
      <c r="A718" s="49">
        <v>717</v>
      </c>
      <c r="C718" s="51" t="s">
        <v>37</v>
      </c>
    </row>
    <row r="719" spans="1:3" ht="15.75" x14ac:dyDescent="0.25">
      <c r="A719" s="49">
        <v>718</v>
      </c>
      <c r="C719" s="51" t="s">
        <v>37</v>
      </c>
    </row>
    <row r="720" spans="1:3" ht="15.75" x14ac:dyDescent="0.25">
      <c r="A720" s="49">
        <v>719</v>
      </c>
      <c r="C720" s="51" t="s">
        <v>37</v>
      </c>
    </row>
    <row r="721" spans="1:3" ht="15.75" x14ac:dyDescent="0.25">
      <c r="A721" s="49">
        <v>720</v>
      </c>
      <c r="C721" s="51" t="s">
        <v>37</v>
      </c>
    </row>
    <row r="722" spans="1:3" ht="15.75" x14ac:dyDescent="0.25">
      <c r="A722" s="49">
        <v>721</v>
      </c>
      <c r="C722" s="51" t="s">
        <v>37</v>
      </c>
    </row>
    <row r="723" spans="1:3" ht="15.75" x14ac:dyDescent="0.25">
      <c r="A723" s="49">
        <v>722</v>
      </c>
      <c r="C723" s="51" t="s">
        <v>37</v>
      </c>
    </row>
    <row r="724" spans="1:3" ht="15.75" x14ac:dyDescent="0.25">
      <c r="A724" s="49">
        <v>723</v>
      </c>
      <c r="C724" s="51" t="s">
        <v>37</v>
      </c>
    </row>
    <row r="725" spans="1:3" ht="15.75" x14ac:dyDescent="0.25">
      <c r="A725" s="49">
        <v>724</v>
      </c>
      <c r="C725" s="51" t="s">
        <v>37</v>
      </c>
    </row>
    <row r="726" spans="1:3" ht="15.75" x14ac:dyDescent="0.25">
      <c r="A726" s="49">
        <v>725</v>
      </c>
      <c r="C726" s="51" t="s">
        <v>37</v>
      </c>
    </row>
    <row r="727" spans="1:3" ht="15.75" x14ac:dyDescent="0.25">
      <c r="A727" s="49">
        <v>726</v>
      </c>
      <c r="C727" s="51" t="s">
        <v>37</v>
      </c>
    </row>
    <row r="728" spans="1:3" ht="15.75" x14ac:dyDescent="0.25">
      <c r="A728" s="49">
        <v>727</v>
      </c>
      <c r="C728" s="51" t="s">
        <v>37</v>
      </c>
    </row>
    <row r="729" spans="1:3" ht="15.75" x14ac:dyDescent="0.25">
      <c r="A729" s="49">
        <v>728</v>
      </c>
      <c r="C729" s="51" t="s">
        <v>37</v>
      </c>
    </row>
    <row r="730" spans="1:3" ht="15.75" x14ac:dyDescent="0.25">
      <c r="A730" s="49">
        <v>729</v>
      </c>
      <c r="C730" s="51" t="s">
        <v>37</v>
      </c>
    </row>
    <row r="731" spans="1:3" ht="15.75" x14ac:dyDescent="0.25">
      <c r="A731" s="49">
        <v>730</v>
      </c>
      <c r="C731" s="51" t="s">
        <v>37</v>
      </c>
    </row>
    <row r="732" spans="1:3" ht="15.75" x14ac:dyDescent="0.25">
      <c r="A732" s="49">
        <v>731</v>
      </c>
      <c r="C732" s="51" t="s">
        <v>37</v>
      </c>
    </row>
    <row r="733" spans="1:3" ht="15.75" x14ac:dyDescent="0.25">
      <c r="A733" s="49">
        <v>732</v>
      </c>
      <c r="C733" s="51" t="s">
        <v>37</v>
      </c>
    </row>
    <row r="734" spans="1:3" ht="15.75" x14ac:dyDescent="0.25">
      <c r="A734" s="49">
        <v>733</v>
      </c>
      <c r="C734" s="51" t="s">
        <v>37</v>
      </c>
    </row>
    <row r="735" spans="1:3" ht="15.75" x14ac:dyDescent="0.25">
      <c r="A735" s="49">
        <v>734</v>
      </c>
      <c r="C735" s="51" t="s">
        <v>37</v>
      </c>
    </row>
    <row r="736" spans="1:3" ht="15.75" x14ac:dyDescent="0.25">
      <c r="A736" s="49">
        <v>735</v>
      </c>
      <c r="C736" s="51" t="s">
        <v>37</v>
      </c>
    </row>
    <row r="737" spans="1:3" ht="15.75" x14ac:dyDescent="0.25">
      <c r="A737" s="49">
        <v>736</v>
      </c>
      <c r="C737" s="51" t="s">
        <v>37</v>
      </c>
    </row>
    <row r="738" spans="1:3" ht="15.75" x14ac:dyDescent="0.25">
      <c r="A738" s="49">
        <v>737</v>
      </c>
      <c r="C738" s="51" t="s">
        <v>37</v>
      </c>
    </row>
    <row r="739" spans="1:3" ht="15.75" x14ac:dyDescent="0.25">
      <c r="A739" s="49">
        <v>738</v>
      </c>
      <c r="C739" s="51" t="s">
        <v>37</v>
      </c>
    </row>
    <row r="740" spans="1:3" ht="15.75" x14ac:dyDescent="0.25">
      <c r="A740" s="49">
        <v>739</v>
      </c>
      <c r="C740" s="51" t="s">
        <v>37</v>
      </c>
    </row>
    <row r="741" spans="1:3" ht="15.75" x14ac:dyDescent="0.25">
      <c r="A741" s="49">
        <v>740</v>
      </c>
      <c r="C741" s="51" t="s">
        <v>37</v>
      </c>
    </row>
    <row r="742" spans="1:3" ht="15.75" x14ac:dyDescent="0.25">
      <c r="A742" s="49">
        <v>741</v>
      </c>
      <c r="C742" s="51" t="s">
        <v>37</v>
      </c>
    </row>
    <row r="743" spans="1:3" ht="15.75" x14ac:dyDescent="0.25">
      <c r="A743" s="49">
        <v>742</v>
      </c>
      <c r="C743" s="51" t="s">
        <v>37</v>
      </c>
    </row>
    <row r="744" spans="1:3" ht="15.75" x14ac:dyDescent="0.25">
      <c r="A744" s="49">
        <v>743</v>
      </c>
      <c r="C744" s="51" t="s">
        <v>37</v>
      </c>
    </row>
    <row r="745" spans="1:3" ht="15.75" x14ac:dyDescent="0.25">
      <c r="A745" s="49">
        <v>744</v>
      </c>
      <c r="C745" s="51" t="s">
        <v>37</v>
      </c>
    </row>
    <row r="746" spans="1:3" ht="15.75" x14ac:dyDescent="0.25">
      <c r="A746" s="49">
        <v>745</v>
      </c>
      <c r="C746" s="51" t="s">
        <v>37</v>
      </c>
    </row>
    <row r="747" spans="1:3" ht="15.75" x14ac:dyDescent="0.25">
      <c r="A747" s="49">
        <v>746</v>
      </c>
      <c r="C747" s="51" t="s">
        <v>37</v>
      </c>
    </row>
    <row r="748" spans="1:3" ht="15.75" x14ac:dyDescent="0.25">
      <c r="A748" s="49">
        <v>747</v>
      </c>
      <c r="C748" s="51" t="s">
        <v>37</v>
      </c>
    </row>
    <row r="749" spans="1:3" ht="15.75" x14ac:dyDescent="0.25">
      <c r="A749" s="49">
        <v>748</v>
      </c>
      <c r="C749" s="51" t="s">
        <v>37</v>
      </c>
    </row>
    <row r="750" spans="1:3" ht="15.75" x14ac:dyDescent="0.25">
      <c r="A750" s="49">
        <v>749</v>
      </c>
      <c r="C750" s="51" t="s">
        <v>37</v>
      </c>
    </row>
    <row r="751" spans="1:3" ht="15.75" x14ac:dyDescent="0.25">
      <c r="A751" s="49">
        <v>750</v>
      </c>
      <c r="C751" s="51" t="s">
        <v>37</v>
      </c>
    </row>
    <row r="752" spans="1:3" ht="15.75" x14ac:dyDescent="0.25">
      <c r="A752" s="49">
        <v>751</v>
      </c>
      <c r="C752" s="51" t="s">
        <v>37</v>
      </c>
    </row>
    <row r="753" spans="1:3" ht="15.75" x14ac:dyDescent="0.25">
      <c r="A753" s="49">
        <v>752</v>
      </c>
      <c r="C753" s="51" t="s">
        <v>37</v>
      </c>
    </row>
    <row r="754" spans="1:3" ht="15.75" x14ac:dyDescent="0.25">
      <c r="A754" s="49">
        <v>753</v>
      </c>
      <c r="C754" s="51" t="s">
        <v>37</v>
      </c>
    </row>
    <row r="755" spans="1:3" ht="15.75" x14ac:dyDescent="0.25">
      <c r="A755" s="49">
        <v>754</v>
      </c>
      <c r="C755" s="51" t="s">
        <v>37</v>
      </c>
    </row>
    <row r="756" spans="1:3" ht="15.75" x14ac:dyDescent="0.25">
      <c r="A756" s="49">
        <v>755</v>
      </c>
      <c r="C756" s="51" t="s">
        <v>37</v>
      </c>
    </row>
    <row r="757" spans="1:3" ht="15.75" x14ac:dyDescent="0.25">
      <c r="A757" s="49">
        <v>756</v>
      </c>
      <c r="C757" s="51" t="s">
        <v>37</v>
      </c>
    </row>
    <row r="758" spans="1:3" ht="15.75" x14ac:dyDescent="0.25">
      <c r="A758" s="49">
        <v>757</v>
      </c>
      <c r="C758" s="51" t="s">
        <v>37</v>
      </c>
    </row>
    <row r="759" spans="1:3" ht="15.75" x14ac:dyDescent="0.25">
      <c r="A759" s="49">
        <v>758</v>
      </c>
      <c r="C759" s="51" t="s">
        <v>37</v>
      </c>
    </row>
    <row r="760" spans="1:3" ht="15.75" x14ac:dyDescent="0.25">
      <c r="A760" s="49">
        <v>759</v>
      </c>
      <c r="C760" s="51" t="s">
        <v>37</v>
      </c>
    </row>
    <row r="761" spans="1:3" ht="15.75" x14ac:dyDescent="0.25">
      <c r="A761" s="49">
        <v>760</v>
      </c>
      <c r="C761" s="51" t="s">
        <v>37</v>
      </c>
    </row>
    <row r="762" spans="1:3" ht="15.75" x14ac:dyDescent="0.25">
      <c r="A762" s="49">
        <v>761</v>
      </c>
      <c r="C762" s="51" t="s">
        <v>37</v>
      </c>
    </row>
    <row r="763" spans="1:3" ht="15.75" x14ac:dyDescent="0.25">
      <c r="A763" s="49">
        <v>762</v>
      </c>
      <c r="C763" s="51" t="s">
        <v>37</v>
      </c>
    </row>
    <row r="764" spans="1:3" ht="15.75" x14ac:dyDescent="0.25">
      <c r="A764" s="49">
        <v>763</v>
      </c>
      <c r="C764" s="51" t="s">
        <v>37</v>
      </c>
    </row>
    <row r="765" spans="1:3" ht="15.75" x14ac:dyDescent="0.25">
      <c r="A765" s="49">
        <v>764</v>
      </c>
      <c r="C765" s="51" t="s">
        <v>37</v>
      </c>
    </row>
    <row r="766" spans="1:3" ht="15.75" x14ac:dyDescent="0.25">
      <c r="A766" s="49">
        <v>765</v>
      </c>
      <c r="C766" s="51" t="s">
        <v>37</v>
      </c>
    </row>
    <row r="767" spans="1:3" ht="15.75" x14ac:dyDescent="0.25">
      <c r="A767" s="49">
        <v>766</v>
      </c>
      <c r="C767" s="51" t="s">
        <v>37</v>
      </c>
    </row>
    <row r="768" spans="1:3" ht="15.75" x14ac:dyDescent="0.25">
      <c r="A768" s="49">
        <v>767</v>
      </c>
      <c r="C768" s="51" t="s">
        <v>37</v>
      </c>
    </row>
    <row r="769" spans="1:3" ht="15.75" x14ac:dyDescent="0.25">
      <c r="A769" s="49">
        <v>768</v>
      </c>
      <c r="C769" s="51" t="s">
        <v>37</v>
      </c>
    </row>
    <row r="770" spans="1:3" ht="15.75" x14ac:dyDescent="0.25">
      <c r="A770" s="49">
        <v>769</v>
      </c>
      <c r="C770" s="51" t="s">
        <v>37</v>
      </c>
    </row>
    <row r="771" spans="1:3" ht="15.75" x14ac:dyDescent="0.25">
      <c r="A771" s="49">
        <v>770</v>
      </c>
      <c r="C771" s="51" t="s">
        <v>37</v>
      </c>
    </row>
    <row r="772" spans="1:3" ht="15.75" x14ac:dyDescent="0.25">
      <c r="A772" s="49">
        <v>771</v>
      </c>
      <c r="C772" s="51" t="s">
        <v>37</v>
      </c>
    </row>
    <row r="773" spans="1:3" ht="15.75" x14ac:dyDescent="0.25">
      <c r="A773" s="49">
        <v>772</v>
      </c>
      <c r="C773" s="51" t="s">
        <v>37</v>
      </c>
    </row>
    <row r="774" spans="1:3" ht="15.75" x14ac:dyDescent="0.25">
      <c r="A774" s="49">
        <v>773</v>
      </c>
      <c r="C774" s="51" t="s">
        <v>37</v>
      </c>
    </row>
    <row r="775" spans="1:3" ht="15.75" x14ac:dyDescent="0.25">
      <c r="A775" s="49">
        <v>774</v>
      </c>
      <c r="C775" s="51" t="s">
        <v>37</v>
      </c>
    </row>
    <row r="776" spans="1:3" ht="15.75" x14ac:dyDescent="0.25">
      <c r="A776" s="49">
        <v>775</v>
      </c>
      <c r="C776" s="51" t="s">
        <v>37</v>
      </c>
    </row>
    <row r="777" spans="1:3" ht="15.75" x14ac:dyDescent="0.25">
      <c r="A777" s="49">
        <v>776</v>
      </c>
      <c r="C777" s="51" t="s">
        <v>37</v>
      </c>
    </row>
    <row r="778" spans="1:3" ht="15.75" x14ac:dyDescent="0.25">
      <c r="A778" s="49">
        <v>777</v>
      </c>
      <c r="C778" s="51" t="s">
        <v>37</v>
      </c>
    </row>
    <row r="779" spans="1:3" ht="15.75" x14ac:dyDescent="0.25">
      <c r="A779" s="49">
        <v>778</v>
      </c>
      <c r="C779" s="51" t="s">
        <v>37</v>
      </c>
    </row>
    <row r="780" spans="1:3" ht="15.75" x14ac:dyDescent="0.25">
      <c r="A780" s="49">
        <v>779</v>
      </c>
      <c r="C780" s="51" t="s">
        <v>37</v>
      </c>
    </row>
    <row r="781" spans="1:3" ht="15.75" x14ac:dyDescent="0.25">
      <c r="A781" s="49">
        <v>780</v>
      </c>
      <c r="C781" s="51" t="s">
        <v>37</v>
      </c>
    </row>
    <row r="782" spans="1:3" ht="15.75" x14ac:dyDescent="0.25">
      <c r="A782" s="49">
        <v>781</v>
      </c>
      <c r="C782" s="51" t="s">
        <v>37</v>
      </c>
    </row>
    <row r="783" spans="1:3" ht="15.75" x14ac:dyDescent="0.25">
      <c r="A783" s="49">
        <v>782</v>
      </c>
      <c r="C783" s="51" t="s">
        <v>37</v>
      </c>
    </row>
    <row r="784" spans="1:3" ht="15.75" x14ac:dyDescent="0.25">
      <c r="A784" s="49">
        <v>783</v>
      </c>
      <c r="C784" s="51" t="s">
        <v>37</v>
      </c>
    </row>
    <row r="785" spans="1:3" ht="15.75" x14ac:dyDescent="0.25">
      <c r="A785" s="49">
        <v>784</v>
      </c>
      <c r="C785" s="51" t="s">
        <v>37</v>
      </c>
    </row>
    <row r="786" spans="1:3" ht="15.75" x14ac:dyDescent="0.25">
      <c r="A786" s="49">
        <v>785</v>
      </c>
      <c r="C786" s="51" t="s">
        <v>37</v>
      </c>
    </row>
    <row r="787" spans="1:3" ht="15.75" x14ac:dyDescent="0.25">
      <c r="A787" s="49">
        <v>786</v>
      </c>
      <c r="C787" s="51" t="s">
        <v>37</v>
      </c>
    </row>
    <row r="788" spans="1:3" ht="15.75" x14ac:dyDescent="0.25">
      <c r="A788" s="49">
        <v>787</v>
      </c>
      <c r="C788" s="51" t="s">
        <v>37</v>
      </c>
    </row>
    <row r="789" spans="1:3" ht="15.75" x14ac:dyDescent="0.25">
      <c r="A789" s="49">
        <v>788</v>
      </c>
      <c r="C789" s="51" t="s">
        <v>37</v>
      </c>
    </row>
    <row r="790" spans="1:3" ht="15.75" x14ac:dyDescent="0.25">
      <c r="A790" s="49">
        <v>789</v>
      </c>
      <c r="C790" s="51" t="s">
        <v>37</v>
      </c>
    </row>
    <row r="791" spans="1:3" ht="15.75" x14ac:dyDescent="0.25">
      <c r="A791" s="49">
        <v>790</v>
      </c>
      <c r="C791" s="51" t="s">
        <v>37</v>
      </c>
    </row>
    <row r="792" spans="1:3" ht="15.75" x14ac:dyDescent="0.25">
      <c r="A792" s="49">
        <v>791</v>
      </c>
      <c r="C792" s="51" t="s">
        <v>37</v>
      </c>
    </row>
    <row r="793" spans="1:3" ht="15.75" x14ac:dyDescent="0.25">
      <c r="A793" s="49">
        <v>792</v>
      </c>
      <c r="C793" s="51" t="s">
        <v>37</v>
      </c>
    </row>
    <row r="794" spans="1:3" ht="15.75" x14ac:dyDescent="0.25">
      <c r="A794" s="49">
        <v>793</v>
      </c>
      <c r="C794" s="51" t="s">
        <v>37</v>
      </c>
    </row>
    <row r="795" spans="1:3" ht="15.75" x14ac:dyDescent="0.25">
      <c r="A795" s="49">
        <v>794</v>
      </c>
      <c r="C795" s="51" t="s">
        <v>37</v>
      </c>
    </row>
    <row r="796" spans="1:3" ht="15.75" x14ac:dyDescent="0.25">
      <c r="A796" s="49">
        <v>795</v>
      </c>
      <c r="C796" s="51" t="s">
        <v>37</v>
      </c>
    </row>
    <row r="797" spans="1:3" ht="15.75" x14ac:dyDescent="0.25">
      <c r="A797" s="49">
        <v>796</v>
      </c>
      <c r="C797" s="51" t="s">
        <v>37</v>
      </c>
    </row>
    <row r="798" spans="1:3" ht="15.75" x14ac:dyDescent="0.25">
      <c r="A798" s="49">
        <v>797</v>
      </c>
      <c r="C798" s="51" t="s">
        <v>37</v>
      </c>
    </row>
    <row r="799" spans="1:3" ht="15.75" x14ac:dyDescent="0.25">
      <c r="A799" s="49">
        <v>798</v>
      </c>
      <c r="C799" s="51" t="s">
        <v>37</v>
      </c>
    </row>
    <row r="800" spans="1:3" ht="15.75" x14ac:dyDescent="0.25">
      <c r="A800" s="49">
        <v>799</v>
      </c>
      <c r="C800" s="51" t="s">
        <v>37</v>
      </c>
    </row>
    <row r="801" spans="1:3" ht="15.75" x14ac:dyDescent="0.25">
      <c r="A801" s="49">
        <v>800</v>
      </c>
      <c r="C801" s="51" t="s">
        <v>37</v>
      </c>
    </row>
    <row r="802" spans="1:3" ht="15.75" x14ac:dyDescent="0.25">
      <c r="A802" s="49">
        <v>801</v>
      </c>
      <c r="C802" s="51" t="s">
        <v>37</v>
      </c>
    </row>
    <row r="803" spans="1:3" ht="15.75" x14ac:dyDescent="0.25">
      <c r="A803" s="49">
        <v>802</v>
      </c>
      <c r="C803" s="51" t="s">
        <v>37</v>
      </c>
    </row>
    <row r="804" spans="1:3" ht="15.75" x14ac:dyDescent="0.25">
      <c r="A804" s="49">
        <v>803</v>
      </c>
      <c r="C804" s="51" t="s">
        <v>37</v>
      </c>
    </row>
    <row r="805" spans="1:3" ht="15.75" x14ac:dyDescent="0.25">
      <c r="A805" s="49">
        <v>804</v>
      </c>
      <c r="C805" s="51" t="s">
        <v>37</v>
      </c>
    </row>
    <row r="806" spans="1:3" ht="15.75" x14ac:dyDescent="0.25">
      <c r="A806" s="49">
        <v>805</v>
      </c>
      <c r="C806" s="51" t="s">
        <v>37</v>
      </c>
    </row>
    <row r="807" spans="1:3" ht="15.75" x14ac:dyDescent="0.25">
      <c r="A807" s="49">
        <v>806</v>
      </c>
      <c r="C807" s="51" t="s">
        <v>37</v>
      </c>
    </row>
    <row r="808" spans="1:3" ht="15.75" x14ac:dyDescent="0.25">
      <c r="A808" s="49">
        <v>807</v>
      </c>
      <c r="C808" s="51" t="s">
        <v>37</v>
      </c>
    </row>
    <row r="809" spans="1:3" ht="15.75" x14ac:dyDescent="0.25">
      <c r="A809" s="49">
        <v>808</v>
      </c>
      <c r="C809" s="51" t="s">
        <v>37</v>
      </c>
    </row>
    <row r="810" spans="1:3" ht="15.75" x14ac:dyDescent="0.25">
      <c r="A810" s="49">
        <v>809</v>
      </c>
      <c r="C810" s="51" t="s">
        <v>37</v>
      </c>
    </row>
    <row r="811" spans="1:3" ht="15.75" x14ac:dyDescent="0.25">
      <c r="A811" s="49">
        <v>810</v>
      </c>
      <c r="C811" s="51" t="s">
        <v>37</v>
      </c>
    </row>
    <row r="812" spans="1:3" ht="15.75" x14ac:dyDescent="0.25">
      <c r="A812" s="49">
        <v>811</v>
      </c>
      <c r="C812" s="51" t="s">
        <v>37</v>
      </c>
    </row>
    <row r="813" spans="1:3" ht="15.75" x14ac:dyDescent="0.25">
      <c r="A813" s="49">
        <v>812</v>
      </c>
      <c r="C813" s="51" t="s">
        <v>37</v>
      </c>
    </row>
    <row r="814" spans="1:3" ht="15.75" x14ac:dyDescent="0.25">
      <c r="A814" s="49">
        <v>813</v>
      </c>
      <c r="C814" s="51" t="s">
        <v>37</v>
      </c>
    </row>
    <row r="815" spans="1:3" ht="15.75" x14ac:dyDescent="0.25">
      <c r="A815" s="49">
        <v>814</v>
      </c>
      <c r="C815" s="51" t="s">
        <v>37</v>
      </c>
    </row>
    <row r="816" spans="1:3" ht="15.75" x14ac:dyDescent="0.25">
      <c r="A816" s="49">
        <v>815</v>
      </c>
      <c r="C816" s="51" t="s">
        <v>37</v>
      </c>
    </row>
    <row r="817" spans="1:3" ht="15.75" x14ac:dyDescent="0.25">
      <c r="A817" s="49">
        <v>816</v>
      </c>
      <c r="C817" s="51" t="s">
        <v>37</v>
      </c>
    </row>
    <row r="818" spans="1:3" ht="15.75" x14ac:dyDescent="0.25">
      <c r="A818" s="49">
        <v>817</v>
      </c>
      <c r="C818" s="51" t="s">
        <v>37</v>
      </c>
    </row>
    <row r="819" spans="1:3" ht="15.75" x14ac:dyDescent="0.25">
      <c r="A819" s="49">
        <v>818</v>
      </c>
      <c r="C819" s="51" t="s">
        <v>37</v>
      </c>
    </row>
    <row r="820" spans="1:3" ht="15.75" x14ac:dyDescent="0.25">
      <c r="A820" s="49">
        <v>819</v>
      </c>
      <c r="C820" s="51" t="s">
        <v>37</v>
      </c>
    </row>
    <row r="821" spans="1:3" ht="15.75" x14ac:dyDescent="0.25">
      <c r="A821" s="49">
        <v>820</v>
      </c>
      <c r="C821" s="51" t="s">
        <v>37</v>
      </c>
    </row>
    <row r="822" spans="1:3" ht="15.75" x14ac:dyDescent="0.25">
      <c r="A822" s="49">
        <v>821</v>
      </c>
      <c r="C822" s="51" t="s">
        <v>37</v>
      </c>
    </row>
    <row r="823" spans="1:3" ht="15.75" x14ac:dyDescent="0.25">
      <c r="A823" s="49">
        <v>822</v>
      </c>
      <c r="C823" s="51" t="s">
        <v>37</v>
      </c>
    </row>
    <row r="824" spans="1:3" ht="15.75" x14ac:dyDescent="0.25">
      <c r="A824" s="49">
        <v>823</v>
      </c>
      <c r="C824" s="51" t="s">
        <v>37</v>
      </c>
    </row>
    <row r="825" spans="1:3" ht="15.75" x14ac:dyDescent="0.25">
      <c r="A825" s="49">
        <v>824</v>
      </c>
      <c r="C825" s="51" t="s">
        <v>37</v>
      </c>
    </row>
    <row r="826" spans="1:3" ht="15.75" x14ac:dyDescent="0.25">
      <c r="A826" s="49">
        <v>825</v>
      </c>
      <c r="C826" s="51" t="s">
        <v>37</v>
      </c>
    </row>
    <row r="827" spans="1:3" ht="15.75" x14ac:dyDescent="0.25">
      <c r="A827" s="49">
        <v>826</v>
      </c>
      <c r="C827" s="51" t="s">
        <v>37</v>
      </c>
    </row>
    <row r="828" spans="1:3" ht="15.75" x14ac:dyDescent="0.25">
      <c r="A828" s="49">
        <v>827</v>
      </c>
      <c r="C828" s="51" t="s">
        <v>37</v>
      </c>
    </row>
    <row r="829" spans="1:3" ht="15.75" x14ac:dyDescent="0.25">
      <c r="A829" s="49">
        <v>828</v>
      </c>
      <c r="C829" s="51" t="s">
        <v>37</v>
      </c>
    </row>
    <row r="830" spans="1:3" ht="15.75" x14ac:dyDescent="0.25">
      <c r="A830" s="49">
        <v>829</v>
      </c>
      <c r="C830" s="51" t="s">
        <v>37</v>
      </c>
    </row>
    <row r="831" spans="1:3" ht="15.75" x14ac:dyDescent="0.25">
      <c r="A831" s="49">
        <v>830</v>
      </c>
      <c r="C831" s="51" t="s">
        <v>37</v>
      </c>
    </row>
    <row r="832" spans="1:3" ht="15.75" x14ac:dyDescent="0.25">
      <c r="A832" s="49">
        <v>831</v>
      </c>
      <c r="C832" s="51" t="s">
        <v>37</v>
      </c>
    </row>
    <row r="833" spans="1:3" ht="15.75" x14ac:dyDescent="0.25">
      <c r="A833" s="49">
        <v>832</v>
      </c>
      <c r="C833" s="51" t="s">
        <v>37</v>
      </c>
    </row>
    <row r="834" spans="1:3" ht="15.75" x14ac:dyDescent="0.25">
      <c r="A834" s="49">
        <v>833</v>
      </c>
      <c r="C834" s="51" t="s">
        <v>37</v>
      </c>
    </row>
    <row r="835" spans="1:3" ht="15.75" x14ac:dyDescent="0.25">
      <c r="A835" s="49">
        <v>834</v>
      </c>
      <c r="C835" s="51" t="s">
        <v>37</v>
      </c>
    </row>
    <row r="836" spans="1:3" ht="15.75" x14ac:dyDescent="0.25">
      <c r="A836" s="49">
        <v>835</v>
      </c>
      <c r="C836" s="51" t="s">
        <v>37</v>
      </c>
    </row>
    <row r="837" spans="1:3" ht="15.75" x14ac:dyDescent="0.25">
      <c r="A837" s="49">
        <v>836</v>
      </c>
      <c r="C837" s="51" t="s">
        <v>37</v>
      </c>
    </row>
    <row r="838" spans="1:3" ht="15.75" x14ac:dyDescent="0.25">
      <c r="A838" s="49">
        <v>837</v>
      </c>
      <c r="C838" s="51" t="s">
        <v>37</v>
      </c>
    </row>
    <row r="839" spans="1:3" ht="15.75" x14ac:dyDescent="0.25">
      <c r="A839" s="49">
        <v>838</v>
      </c>
      <c r="C839" s="51" t="s">
        <v>37</v>
      </c>
    </row>
    <row r="840" spans="1:3" ht="15.75" x14ac:dyDescent="0.25">
      <c r="A840" s="49">
        <v>839</v>
      </c>
      <c r="C840" s="51" t="s">
        <v>37</v>
      </c>
    </row>
    <row r="841" spans="1:3" ht="15.75" x14ac:dyDescent="0.25">
      <c r="A841" s="49">
        <v>840</v>
      </c>
      <c r="C841" s="51" t="s">
        <v>37</v>
      </c>
    </row>
    <row r="842" spans="1:3" ht="15.75" x14ac:dyDescent="0.25">
      <c r="A842" s="49">
        <v>841</v>
      </c>
      <c r="C842" s="51" t="s">
        <v>37</v>
      </c>
    </row>
    <row r="843" spans="1:3" ht="15.75" x14ac:dyDescent="0.25">
      <c r="A843" s="49">
        <v>842</v>
      </c>
      <c r="C843" s="51" t="s">
        <v>37</v>
      </c>
    </row>
    <row r="844" spans="1:3" ht="15.75" x14ac:dyDescent="0.25">
      <c r="A844" s="49">
        <v>843</v>
      </c>
      <c r="C844" s="51" t="s">
        <v>37</v>
      </c>
    </row>
    <row r="845" spans="1:3" ht="15.75" x14ac:dyDescent="0.25">
      <c r="A845" s="49">
        <v>844</v>
      </c>
      <c r="C845" s="51" t="s">
        <v>37</v>
      </c>
    </row>
    <row r="846" spans="1:3" ht="15.75" x14ac:dyDescent="0.25">
      <c r="A846" s="49">
        <v>845</v>
      </c>
      <c r="C846" s="51" t="s">
        <v>37</v>
      </c>
    </row>
    <row r="847" spans="1:3" ht="15.75" x14ac:dyDescent="0.25">
      <c r="A847" s="49">
        <v>846</v>
      </c>
      <c r="C847" s="51" t="s">
        <v>37</v>
      </c>
    </row>
    <row r="848" spans="1:3" ht="15.75" x14ac:dyDescent="0.25">
      <c r="A848" s="49">
        <v>847</v>
      </c>
      <c r="C848" s="51" t="s">
        <v>37</v>
      </c>
    </row>
    <row r="849" spans="1:3" ht="15.75" x14ac:dyDescent="0.25">
      <c r="A849" s="49">
        <v>848</v>
      </c>
      <c r="C849" s="51" t="s">
        <v>37</v>
      </c>
    </row>
    <row r="850" spans="1:3" ht="15.75" x14ac:dyDescent="0.25">
      <c r="A850" s="49">
        <v>849</v>
      </c>
      <c r="C850" s="51" t="s">
        <v>37</v>
      </c>
    </row>
    <row r="851" spans="1:3" ht="15.75" x14ac:dyDescent="0.25">
      <c r="A851" s="49">
        <v>850</v>
      </c>
      <c r="C851" s="51" t="s">
        <v>37</v>
      </c>
    </row>
    <row r="852" spans="1:3" ht="15.75" x14ac:dyDescent="0.25">
      <c r="A852" s="49">
        <v>851</v>
      </c>
      <c r="C852" s="51" t="s">
        <v>37</v>
      </c>
    </row>
    <row r="853" spans="1:3" ht="15.75" x14ac:dyDescent="0.25">
      <c r="A853" s="49">
        <v>852</v>
      </c>
      <c r="C853" s="51" t="s">
        <v>37</v>
      </c>
    </row>
    <row r="854" spans="1:3" ht="15.75" x14ac:dyDescent="0.25">
      <c r="A854" s="49">
        <v>853</v>
      </c>
      <c r="C854" s="51" t="s">
        <v>37</v>
      </c>
    </row>
    <row r="855" spans="1:3" ht="15.75" x14ac:dyDescent="0.25">
      <c r="A855" s="49">
        <v>854</v>
      </c>
      <c r="C855" s="51" t="s">
        <v>37</v>
      </c>
    </row>
    <row r="856" spans="1:3" ht="15.75" x14ac:dyDescent="0.25">
      <c r="A856" s="49">
        <v>855</v>
      </c>
      <c r="C856" s="51" t="s">
        <v>37</v>
      </c>
    </row>
    <row r="857" spans="1:3" ht="15.75" x14ac:dyDescent="0.25">
      <c r="A857" s="49">
        <v>856</v>
      </c>
      <c r="C857" s="51" t="s">
        <v>37</v>
      </c>
    </row>
    <row r="858" spans="1:3" ht="15.75" x14ac:dyDescent="0.25">
      <c r="A858" s="49">
        <v>857</v>
      </c>
      <c r="C858" s="51" t="s">
        <v>37</v>
      </c>
    </row>
    <row r="859" spans="1:3" ht="15.75" x14ac:dyDescent="0.25">
      <c r="A859" s="49">
        <v>858</v>
      </c>
      <c r="C859" s="51" t="s">
        <v>37</v>
      </c>
    </row>
    <row r="860" spans="1:3" ht="15.75" x14ac:dyDescent="0.25">
      <c r="A860" s="49">
        <v>859</v>
      </c>
      <c r="C860" s="51" t="s">
        <v>37</v>
      </c>
    </row>
    <row r="861" spans="1:3" ht="15.75" x14ac:dyDescent="0.25">
      <c r="A861" s="49">
        <v>860</v>
      </c>
      <c r="C861" s="51" t="s">
        <v>37</v>
      </c>
    </row>
    <row r="862" spans="1:3" ht="15.75" x14ac:dyDescent="0.25">
      <c r="A862" s="49">
        <v>861</v>
      </c>
      <c r="C862" s="51" t="s">
        <v>37</v>
      </c>
    </row>
    <row r="863" spans="1:3" ht="15.75" x14ac:dyDescent="0.25">
      <c r="A863" s="49">
        <v>862</v>
      </c>
      <c r="C863" s="51" t="s">
        <v>37</v>
      </c>
    </row>
    <row r="864" spans="1:3" ht="15.75" x14ac:dyDescent="0.25">
      <c r="A864" s="49">
        <v>863</v>
      </c>
      <c r="C864" s="51" t="s">
        <v>37</v>
      </c>
    </row>
    <row r="865" spans="1:3" ht="15.75" x14ac:dyDescent="0.25">
      <c r="A865" s="49">
        <v>864</v>
      </c>
      <c r="C865" s="51" t="s">
        <v>37</v>
      </c>
    </row>
    <row r="866" spans="1:3" ht="15.75" x14ac:dyDescent="0.25">
      <c r="A866" s="49">
        <v>865</v>
      </c>
      <c r="C866" s="51" t="s">
        <v>37</v>
      </c>
    </row>
    <row r="867" spans="1:3" ht="15.75" x14ac:dyDescent="0.25">
      <c r="A867" s="49">
        <v>866</v>
      </c>
      <c r="C867" s="51" t="s">
        <v>37</v>
      </c>
    </row>
    <row r="868" spans="1:3" ht="15.75" x14ac:dyDescent="0.25">
      <c r="A868" s="49">
        <v>867</v>
      </c>
      <c r="C868" s="51" t="s">
        <v>37</v>
      </c>
    </row>
    <row r="869" spans="1:3" ht="15.75" x14ac:dyDescent="0.25">
      <c r="A869" s="49">
        <v>868</v>
      </c>
      <c r="C869" s="51" t="s">
        <v>37</v>
      </c>
    </row>
    <row r="870" spans="1:3" ht="15.75" x14ac:dyDescent="0.25">
      <c r="A870" s="49">
        <v>869</v>
      </c>
      <c r="C870" s="51" t="s">
        <v>37</v>
      </c>
    </row>
    <row r="871" spans="1:3" ht="15.75" x14ac:dyDescent="0.25">
      <c r="A871" s="49">
        <v>870</v>
      </c>
      <c r="C871" s="51" t="s">
        <v>37</v>
      </c>
    </row>
    <row r="872" spans="1:3" ht="15.75" x14ac:dyDescent="0.25">
      <c r="A872" s="49">
        <v>871</v>
      </c>
      <c r="C872" s="51" t="s">
        <v>37</v>
      </c>
    </row>
    <row r="873" spans="1:3" ht="15.75" x14ac:dyDescent="0.25">
      <c r="A873" s="49">
        <v>872</v>
      </c>
      <c r="C873" s="51" t="s">
        <v>37</v>
      </c>
    </row>
    <row r="874" spans="1:3" ht="15.75" x14ac:dyDescent="0.25">
      <c r="A874" s="49">
        <v>873</v>
      </c>
      <c r="C874" s="51" t="s">
        <v>37</v>
      </c>
    </row>
    <row r="875" spans="1:3" ht="15.75" x14ac:dyDescent="0.25">
      <c r="A875" s="49">
        <v>874</v>
      </c>
      <c r="C875" s="51" t="s">
        <v>37</v>
      </c>
    </row>
    <row r="876" spans="1:3" ht="15.75" x14ac:dyDescent="0.25">
      <c r="A876" s="49">
        <v>875</v>
      </c>
      <c r="C876" s="51" t="s">
        <v>37</v>
      </c>
    </row>
    <row r="877" spans="1:3" ht="15.75" x14ac:dyDescent="0.25">
      <c r="A877" s="49">
        <v>876</v>
      </c>
      <c r="C877" s="51" t="s">
        <v>37</v>
      </c>
    </row>
    <row r="878" spans="1:3" ht="15.75" x14ac:dyDescent="0.25">
      <c r="A878" s="49">
        <v>877</v>
      </c>
      <c r="C878" s="51" t="s">
        <v>37</v>
      </c>
    </row>
    <row r="879" spans="1:3" ht="15.75" x14ac:dyDescent="0.25">
      <c r="A879" s="49">
        <v>878</v>
      </c>
      <c r="C879" s="51" t="s">
        <v>37</v>
      </c>
    </row>
    <row r="880" spans="1:3" ht="15.75" x14ac:dyDescent="0.25">
      <c r="A880" s="49">
        <v>879</v>
      </c>
      <c r="C880" s="51" t="s">
        <v>37</v>
      </c>
    </row>
    <row r="881" spans="1:3" ht="15.75" x14ac:dyDescent="0.25">
      <c r="A881" s="49">
        <v>880</v>
      </c>
      <c r="C881" s="51" t="s">
        <v>37</v>
      </c>
    </row>
    <row r="882" spans="1:3" ht="15.75" x14ac:dyDescent="0.25">
      <c r="A882" s="49">
        <v>881</v>
      </c>
      <c r="C882" s="51" t="s">
        <v>37</v>
      </c>
    </row>
    <row r="883" spans="1:3" ht="15.75" x14ac:dyDescent="0.25">
      <c r="A883" s="49">
        <v>882</v>
      </c>
      <c r="C883" s="51" t="s">
        <v>37</v>
      </c>
    </row>
    <row r="884" spans="1:3" ht="15.75" x14ac:dyDescent="0.25">
      <c r="A884" s="49">
        <v>883</v>
      </c>
      <c r="C884" s="51" t="s">
        <v>37</v>
      </c>
    </row>
    <row r="885" spans="1:3" ht="15.75" x14ac:dyDescent="0.25">
      <c r="A885" s="49">
        <v>884</v>
      </c>
      <c r="C885" s="51" t="s">
        <v>37</v>
      </c>
    </row>
    <row r="886" spans="1:3" ht="15.75" x14ac:dyDescent="0.25">
      <c r="A886" s="49">
        <v>885</v>
      </c>
      <c r="C886" s="51" t="s">
        <v>37</v>
      </c>
    </row>
    <row r="887" spans="1:3" ht="15.75" x14ac:dyDescent="0.25">
      <c r="A887" s="49">
        <v>886</v>
      </c>
      <c r="C887" s="51" t="s">
        <v>37</v>
      </c>
    </row>
    <row r="888" spans="1:3" ht="15.75" x14ac:dyDescent="0.25">
      <c r="A888" s="49">
        <v>887</v>
      </c>
      <c r="C888" s="51" t="s">
        <v>37</v>
      </c>
    </row>
    <row r="889" spans="1:3" ht="15.75" x14ac:dyDescent="0.25">
      <c r="A889" s="49">
        <v>888</v>
      </c>
      <c r="C889" s="51" t="s">
        <v>37</v>
      </c>
    </row>
    <row r="890" spans="1:3" ht="15.75" x14ac:dyDescent="0.25">
      <c r="A890" s="49">
        <v>889</v>
      </c>
      <c r="C890" s="51" t="s">
        <v>37</v>
      </c>
    </row>
    <row r="891" spans="1:3" ht="15.75" x14ac:dyDescent="0.25">
      <c r="A891" s="49">
        <v>890</v>
      </c>
      <c r="C891" s="51" t="s">
        <v>37</v>
      </c>
    </row>
    <row r="892" spans="1:3" ht="15.75" x14ac:dyDescent="0.25">
      <c r="A892" s="49">
        <v>891</v>
      </c>
      <c r="C892" s="51" t="s">
        <v>37</v>
      </c>
    </row>
    <row r="893" spans="1:3" ht="15.75" x14ac:dyDescent="0.25">
      <c r="A893" s="49">
        <v>892</v>
      </c>
      <c r="C893" s="51" t="s">
        <v>37</v>
      </c>
    </row>
    <row r="894" spans="1:3" ht="15.75" x14ac:dyDescent="0.25">
      <c r="A894" s="49">
        <v>893</v>
      </c>
      <c r="C894" s="51" t="s">
        <v>37</v>
      </c>
    </row>
    <row r="895" spans="1:3" ht="15.75" x14ac:dyDescent="0.25">
      <c r="A895" s="49">
        <v>894</v>
      </c>
      <c r="C895" s="51" t="s">
        <v>37</v>
      </c>
    </row>
    <row r="896" spans="1:3" ht="15.75" x14ac:dyDescent="0.25">
      <c r="A896" s="49">
        <v>895</v>
      </c>
      <c r="C896" s="51" t="s">
        <v>37</v>
      </c>
    </row>
    <row r="897" spans="1:3" ht="15.75" x14ac:dyDescent="0.25">
      <c r="A897" s="49">
        <v>896</v>
      </c>
      <c r="C897" s="51" t="s">
        <v>37</v>
      </c>
    </row>
    <row r="898" spans="1:3" ht="15.75" x14ac:dyDescent="0.25">
      <c r="A898" s="49">
        <v>897</v>
      </c>
      <c r="C898" s="51" t="s">
        <v>37</v>
      </c>
    </row>
    <row r="899" spans="1:3" ht="15.75" x14ac:dyDescent="0.25">
      <c r="A899" s="49">
        <v>898</v>
      </c>
      <c r="C899" s="51" t="s">
        <v>37</v>
      </c>
    </row>
    <row r="900" spans="1:3" ht="15.75" x14ac:dyDescent="0.25">
      <c r="A900" s="49">
        <v>899</v>
      </c>
      <c r="C900" s="51" t="s">
        <v>37</v>
      </c>
    </row>
    <row r="901" spans="1:3" ht="15.75" x14ac:dyDescent="0.25">
      <c r="A901" s="49">
        <v>900</v>
      </c>
      <c r="C901" s="51" t="s">
        <v>37</v>
      </c>
    </row>
    <row r="902" spans="1:3" ht="15.75" x14ac:dyDescent="0.25">
      <c r="A902" s="49">
        <v>901</v>
      </c>
      <c r="C902" s="51" t="s">
        <v>37</v>
      </c>
    </row>
    <row r="903" spans="1:3" ht="15.75" x14ac:dyDescent="0.25">
      <c r="A903" s="49">
        <v>902</v>
      </c>
      <c r="C903" s="51" t="s">
        <v>37</v>
      </c>
    </row>
    <row r="904" spans="1:3" ht="15.75" x14ac:dyDescent="0.25">
      <c r="A904" s="49">
        <v>903</v>
      </c>
      <c r="C904" s="51" t="s">
        <v>37</v>
      </c>
    </row>
    <row r="905" spans="1:3" ht="15.75" x14ac:dyDescent="0.25">
      <c r="A905" s="49">
        <v>904</v>
      </c>
      <c r="C905" s="51" t="s">
        <v>37</v>
      </c>
    </row>
    <row r="906" spans="1:3" ht="15.75" x14ac:dyDescent="0.25">
      <c r="A906" s="49">
        <v>905</v>
      </c>
      <c r="C906" s="51" t="s">
        <v>37</v>
      </c>
    </row>
    <row r="907" spans="1:3" ht="15.75" x14ac:dyDescent="0.25">
      <c r="A907" s="49">
        <v>906</v>
      </c>
      <c r="C907" s="51" t="s">
        <v>37</v>
      </c>
    </row>
    <row r="908" spans="1:3" ht="15.75" x14ac:dyDescent="0.25">
      <c r="A908" s="49">
        <v>907</v>
      </c>
      <c r="C908" s="51" t="s">
        <v>37</v>
      </c>
    </row>
    <row r="909" spans="1:3" ht="15.75" x14ac:dyDescent="0.25">
      <c r="A909" s="49">
        <v>908</v>
      </c>
      <c r="C909" s="51" t="s">
        <v>37</v>
      </c>
    </row>
    <row r="910" spans="1:3" ht="15.75" x14ac:dyDescent="0.25">
      <c r="A910" s="49">
        <v>909</v>
      </c>
      <c r="C910" s="51" t="s">
        <v>37</v>
      </c>
    </row>
    <row r="911" spans="1:3" ht="15.75" x14ac:dyDescent="0.25">
      <c r="A911" s="49">
        <v>910</v>
      </c>
      <c r="C911" s="51" t="s">
        <v>37</v>
      </c>
    </row>
    <row r="912" spans="1:3" ht="15.75" x14ac:dyDescent="0.25">
      <c r="A912" s="49">
        <v>911</v>
      </c>
      <c r="C912" s="51" t="s">
        <v>37</v>
      </c>
    </row>
    <row r="913" spans="1:3" ht="15.75" x14ac:dyDescent="0.25">
      <c r="A913" s="49">
        <v>912</v>
      </c>
      <c r="C913" s="51" t="s">
        <v>37</v>
      </c>
    </row>
    <row r="914" spans="1:3" ht="15.75" x14ac:dyDescent="0.25">
      <c r="A914" s="49">
        <v>913</v>
      </c>
      <c r="C914" s="51" t="s">
        <v>37</v>
      </c>
    </row>
    <row r="915" spans="1:3" ht="15.75" x14ac:dyDescent="0.25">
      <c r="A915" s="49">
        <v>914</v>
      </c>
      <c r="C915" s="51" t="s">
        <v>37</v>
      </c>
    </row>
    <row r="916" spans="1:3" ht="15.75" x14ac:dyDescent="0.25">
      <c r="A916" s="49">
        <v>915</v>
      </c>
      <c r="C916" s="51" t="s">
        <v>37</v>
      </c>
    </row>
    <row r="917" spans="1:3" ht="15.75" x14ac:dyDescent="0.25">
      <c r="A917" s="49">
        <v>916</v>
      </c>
      <c r="C917" s="51" t="s">
        <v>37</v>
      </c>
    </row>
    <row r="918" spans="1:3" ht="15.75" x14ac:dyDescent="0.25">
      <c r="A918" s="49">
        <v>917</v>
      </c>
      <c r="C918" s="51" t="s">
        <v>37</v>
      </c>
    </row>
    <row r="919" spans="1:3" ht="15.75" x14ac:dyDescent="0.25">
      <c r="A919" s="49">
        <v>918</v>
      </c>
      <c r="C919" s="51" t="s">
        <v>37</v>
      </c>
    </row>
    <row r="920" spans="1:3" ht="15.75" x14ac:dyDescent="0.25">
      <c r="A920" s="49">
        <v>919</v>
      </c>
      <c r="C920" s="51" t="s">
        <v>37</v>
      </c>
    </row>
    <row r="921" spans="1:3" ht="15.75" x14ac:dyDescent="0.25">
      <c r="A921" s="49">
        <v>920</v>
      </c>
      <c r="C921" s="51" t="s">
        <v>37</v>
      </c>
    </row>
    <row r="922" spans="1:3" ht="15.75" x14ac:dyDescent="0.25">
      <c r="A922" s="49">
        <v>921</v>
      </c>
      <c r="C922" s="51" t="s">
        <v>37</v>
      </c>
    </row>
    <row r="923" spans="1:3" ht="15.75" x14ac:dyDescent="0.25">
      <c r="A923" s="49">
        <v>922</v>
      </c>
      <c r="C923" s="51" t="s">
        <v>37</v>
      </c>
    </row>
    <row r="924" spans="1:3" ht="15.75" x14ac:dyDescent="0.25">
      <c r="A924" s="49">
        <v>923</v>
      </c>
      <c r="C924" s="51" t="s">
        <v>37</v>
      </c>
    </row>
    <row r="925" spans="1:3" ht="15.75" x14ac:dyDescent="0.25">
      <c r="A925" s="49">
        <v>924</v>
      </c>
      <c r="C925" s="51" t="s">
        <v>37</v>
      </c>
    </row>
    <row r="926" spans="1:3" ht="15.75" x14ac:dyDescent="0.25">
      <c r="A926" s="49">
        <v>925</v>
      </c>
      <c r="C926" s="51" t="s">
        <v>37</v>
      </c>
    </row>
    <row r="927" spans="1:3" ht="15.75" x14ac:dyDescent="0.25">
      <c r="A927" s="49">
        <v>926</v>
      </c>
      <c r="C927" s="51" t="s">
        <v>37</v>
      </c>
    </row>
    <row r="928" spans="1:3" ht="15.75" x14ac:dyDescent="0.25">
      <c r="A928" s="49">
        <v>927</v>
      </c>
      <c r="C928" s="51" t="s">
        <v>37</v>
      </c>
    </row>
    <row r="929" spans="1:3" ht="15.75" x14ac:dyDescent="0.25">
      <c r="A929" s="49">
        <v>928</v>
      </c>
      <c r="C929" s="51" t="s">
        <v>37</v>
      </c>
    </row>
    <row r="930" spans="1:3" ht="15.75" x14ac:dyDescent="0.25">
      <c r="A930" s="49">
        <v>929</v>
      </c>
      <c r="C930" s="51" t="s">
        <v>37</v>
      </c>
    </row>
    <row r="931" spans="1:3" ht="15.75" x14ac:dyDescent="0.25">
      <c r="A931" s="49">
        <v>930</v>
      </c>
      <c r="C931" s="51" t="s">
        <v>37</v>
      </c>
    </row>
    <row r="932" spans="1:3" ht="15.75" x14ac:dyDescent="0.25">
      <c r="A932" s="49">
        <v>931</v>
      </c>
      <c r="C932" s="51" t="s">
        <v>37</v>
      </c>
    </row>
    <row r="933" spans="1:3" ht="15.75" x14ac:dyDescent="0.25">
      <c r="A933" s="49">
        <v>932</v>
      </c>
      <c r="C933" s="51" t="s">
        <v>37</v>
      </c>
    </row>
    <row r="934" spans="1:3" ht="15.75" x14ac:dyDescent="0.25">
      <c r="A934" s="49">
        <v>933</v>
      </c>
      <c r="C934" s="51" t="s">
        <v>37</v>
      </c>
    </row>
    <row r="935" spans="1:3" ht="15.75" x14ac:dyDescent="0.25">
      <c r="A935" s="49">
        <v>934</v>
      </c>
      <c r="C935" s="51" t="s">
        <v>37</v>
      </c>
    </row>
    <row r="936" spans="1:3" ht="15.75" x14ac:dyDescent="0.25">
      <c r="A936" s="49">
        <v>935</v>
      </c>
      <c r="C936" s="51" t="s">
        <v>37</v>
      </c>
    </row>
    <row r="937" spans="1:3" ht="15.75" x14ac:dyDescent="0.25">
      <c r="A937" s="49">
        <v>936</v>
      </c>
      <c r="C937" s="51" t="s">
        <v>37</v>
      </c>
    </row>
    <row r="938" spans="1:3" ht="15.75" x14ac:dyDescent="0.25">
      <c r="A938" s="49">
        <v>937</v>
      </c>
      <c r="C938" s="51" t="s">
        <v>37</v>
      </c>
    </row>
    <row r="939" spans="1:3" ht="15.75" x14ac:dyDescent="0.25">
      <c r="A939" s="49">
        <v>938</v>
      </c>
      <c r="C939" s="51" t="s">
        <v>37</v>
      </c>
    </row>
    <row r="940" spans="1:3" ht="15.75" x14ac:dyDescent="0.25">
      <c r="A940" s="49">
        <v>939</v>
      </c>
      <c r="C940" s="51" t="s">
        <v>37</v>
      </c>
    </row>
    <row r="941" spans="1:3" ht="15.75" x14ac:dyDescent="0.25">
      <c r="A941" s="49">
        <v>940</v>
      </c>
      <c r="C941" s="51" t="s">
        <v>37</v>
      </c>
    </row>
    <row r="942" spans="1:3" ht="15.75" x14ac:dyDescent="0.25">
      <c r="A942" s="49">
        <v>941</v>
      </c>
      <c r="C942" s="51" t="s">
        <v>37</v>
      </c>
    </row>
    <row r="943" spans="1:3" ht="15.75" x14ac:dyDescent="0.25">
      <c r="A943" s="49">
        <v>942</v>
      </c>
      <c r="C943" s="51" t="s">
        <v>37</v>
      </c>
    </row>
    <row r="944" spans="1:3" ht="15.75" x14ac:dyDescent="0.25">
      <c r="A944" s="49">
        <v>943</v>
      </c>
      <c r="C944" s="51" t="s">
        <v>37</v>
      </c>
    </row>
    <row r="945" spans="1:3" ht="15.75" x14ac:dyDescent="0.25">
      <c r="A945" s="49">
        <v>944</v>
      </c>
      <c r="C945" s="51" t="s">
        <v>37</v>
      </c>
    </row>
    <row r="946" spans="1:3" ht="15.75" x14ac:dyDescent="0.25">
      <c r="A946" s="49">
        <v>945</v>
      </c>
      <c r="C946" s="51" t="s">
        <v>37</v>
      </c>
    </row>
    <row r="947" spans="1:3" ht="15.75" x14ac:dyDescent="0.25">
      <c r="A947" s="49">
        <v>946</v>
      </c>
      <c r="C947" s="51" t="s">
        <v>37</v>
      </c>
    </row>
    <row r="948" spans="1:3" ht="15.75" x14ac:dyDescent="0.25">
      <c r="A948" s="49">
        <v>947</v>
      </c>
      <c r="C948" s="51" t="s">
        <v>37</v>
      </c>
    </row>
    <row r="949" spans="1:3" ht="15.75" x14ac:dyDescent="0.25">
      <c r="A949" s="49">
        <v>948</v>
      </c>
      <c r="C949" s="51" t="s">
        <v>37</v>
      </c>
    </row>
    <row r="950" spans="1:3" ht="15.75" x14ac:dyDescent="0.25">
      <c r="A950" s="49">
        <v>949</v>
      </c>
      <c r="C950" s="51" t="s">
        <v>37</v>
      </c>
    </row>
    <row r="951" spans="1:3" ht="15.75" x14ac:dyDescent="0.25">
      <c r="A951" s="49">
        <v>950</v>
      </c>
      <c r="C951" s="51" t="s">
        <v>37</v>
      </c>
    </row>
    <row r="952" spans="1:3" ht="15.75" x14ac:dyDescent="0.25">
      <c r="A952" s="49">
        <v>951</v>
      </c>
      <c r="C952" s="51" t="s">
        <v>37</v>
      </c>
    </row>
    <row r="953" spans="1:3" ht="15.75" x14ac:dyDescent="0.25">
      <c r="A953" s="49">
        <v>952</v>
      </c>
      <c r="C953" s="51" t="s">
        <v>37</v>
      </c>
    </row>
    <row r="954" spans="1:3" ht="15.75" x14ac:dyDescent="0.25">
      <c r="A954" s="49">
        <v>953</v>
      </c>
      <c r="C954" s="51" t="s">
        <v>37</v>
      </c>
    </row>
    <row r="955" spans="1:3" ht="15.75" x14ac:dyDescent="0.25">
      <c r="A955" s="49">
        <v>954</v>
      </c>
      <c r="C955" s="51" t="s">
        <v>37</v>
      </c>
    </row>
    <row r="956" spans="1:3" ht="15.75" x14ac:dyDescent="0.25">
      <c r="A956" s="49">
        <v>955</v>
      </c>
      <c r="C956" s="51" t="s">
        <v>37</v>
      </c>
    </row>
    <row r="957" spans="1:3" ht="15.75" x14ac:dyDescent="0.25">
      <c r="A957" s="49">
        <v>956</v>
      </c>
      <c r="C957" s="51" t="s">
        <v>37</v>
      </c>
    </row>
    <row r="958" spans="1:3" ht="15.75" x14ac:dyDescent="0.25">
      <c r="A958" s="49">
        <v>957</v>
      </c>
      <c r="C958" s="51" t="s">
        <v>37</v>
      </c>
    </row>
    <row r="959" spans="1:3" ht="15.75" x14ac:dyDescent="0.25">
      <c r="A959" s="49">
        <v>958</v>
      </c>
      <c r="C959" s="51" t="s">
        <v>37</v>
      </c>
    </row>
    <row r="960" spans="1:3" ht="15.75" x14ac:dyDescent="0.25">
      <c r="A960" s="49">
        <v>959</v>
      </c>
      <c r="C960" s="51" t="s">
        <v>37</v>
      </c>
    </row>
    <row r="961" spans="1:3" ht="15.75" x14ac:dyDescent="0.25">
      <c r="A961" s="49">
        <v>960</v>
      </c>
      <c r="C961" s="51" t="s">
        <v>37</v>
      </c>
    </row>
    <row r="962" spans="1:3" ht="15.75" x14ac:dyDescent="0.25">
      <c r="A962" s="49">
        <v>961</v>
      </c>
      <c r="C962" s="51" t="s">
        <v>37</v>
      </c>
    </row>
    <row r="963" spans="1:3" ht="15.75" x14ac:dyDescent="0.25">
      <c r="A963" s="49">
        <v>962</v>
      </c>
      <c r="C963" s="51" t="s">
        <v>37</v>
      </c>
    </row>
    <row r="964" spans="1:3" ht="15.75" x14ac:dyDescent="0.25">
      <c r="A964" s="49">
        <v>963</v>
      </c>
      <c r="C964" s="51" t="s">
        <v>37</v>
      </c>
    </row>
    <row r="965" spans="1:3" ht="15.75" x14ac:dyDescent="0.25">
      <c r="A965" s="49">
        <v>964</v>
      </c>
      <c r="C965" s="51" t="s">
        <v>37</v>
      </c>
    </row>
    <row r="966" spans="1:3" ht="15.75" x14ac:dyDescent="0.25">
      <c r="A966" s="49">
        <v>965</v>
      </c>
      <c r="C966" s="51" t="s">
        <v>37</v>
      </c>
    </row>
    <row r="967" spans="1:3" ht="15.75" x14ac:dyDescent="0.25">
      <c r="A967" s="49">
        <v>966</v>
      </c>
      <c r="C967" s="51" t="s">
        <v>37</v>
      </c>
    </row>
    <row r="968" spans="1:3" ht="15.75" x14ac:dyDescent="0.25">
      <c r="A968" s="49">
        <v>967</v>
      </c>
      <c r="C968" s="51" t="s">
        <v>37</v>
      </c>
    </row>
    <row r="969" spans="1:3" ht="15.75" x14ac:dyDescent="0.25">
      <c r="A969" s="49">
        <v>968</v>
      </c>
      <c r="C969" s="51" t="s">
        <v>37</v>
      </c>
    </row>
    <row r="970" spans="1:3" ht="15.75" x14ac:dyDescent="0.25">
      <c r="A970" s="49">
        <v>969</v>
      </c>
      <c r="C970" s="51" t="s">
        <v>37</v>
      </c>
    </row>
    <row r="971" spans="1:3" ht="15.75" x14ac:dyDescent="0.25">
      <c r="A971" s="49">
        <v>970</v>
      </c>
      <c r="C971" s="51" t="s">
        <v>37</v>
      </c>
    </row>
    <row r="972" spans="1:3" ht="15.75" x14ac:dyDescent="0.25">
      <c r="A972" s="49">
        <v>971</v>
      </c>
      <c r="C972" s="51" t="s">
        <v>37</v>
      </c>
    </row>
    <row r="973" spans="1:3" ht="15.75" x14ac:dyDescent="0.25">
      <c r="A973" s="49">
        <v>972</v>
      </c>
      <c r="C973" s="51" t="s">
        <v>37</v>
      </c>
    </row>
    <row r="974" spans="1:3" ht="15.75" x14ac:dyDescent="0.25">
      <c r="A974" s="49">
        <v>973</v>
      </c>
      <c r="C974" s="51" t="s">
        <v>37</v>
      </c>
    </row>
    <row r="975" spans="1:3" ht="15.75" x14ac:dyDescent="0.25">
      <c r="A975" s="49">
        <v>974</v>
      </c>
      <c r="C975" s="51" t="s">
        <v>37</v>
      </c>
    </row>
    <row r="976" spans="1:3" ht="15.75" x14ac:dyDescent="0.25">
      <c r="A976" s="49">
        <v>975</v>
      </c>
      <c r="C976" s="51" t="s">
        <v>37</v>
      </c>
    </row>
    <row r="977" spans="1:3" ht="15.75" x14ac:dyDescent="0.25">
      <c r="A977" s="49">
        <v>976</v>
      </c>
      <c r="C977" s="51" t="s">
        <v>37</v>
      </c>
    </row>
    <row r="978" spans="1:3" ht="15.75" x14ac:dyDescent="0.25">
      <c r="A978" s="49">
        <v>977</v>
      </c>
      <c r="C978" s="51" t="s">
        <v>37</v>
      </c>
    </row>
    <row r="979" spans="1:3" ht="15.75" x14ac:dyDescent="0.25">
      <c r="A979" s="49">
        <v>978</v>
      </c>
      <c r="C979" s="51" t="s">
        <v>37</v>
      </c>
    </row>
    <row r="980" spans="1:3" ht="15.75" x14ac:dyDescent="0.25">
      <c r="A980" s="49">
        <v>979</v>
      </c>
      <c r="C980" s="51" t="s">
        <v>37</v>
      </c>
    </row>
    <row r="981" spans="1:3" ht="15.75" x14ac:dyDescent="0.25">
      <c r="A981" s="49">
        <v>980</v>
      </c>
      <c r="C981" s="51" t="s">
        <v>37</v>
      </c>
    </row>
    <row r="982" spans="1:3" ht="15.75" x14ac:dyDescent="0.25">
      <c r="A982" s="49">
        <v>981</v>
      </c>
      <c r="C982" s="51" t="s">
        <v>37</v>
      </c>
    </row>
    <row r="983" spans="1:3" ht="15.75" x14ac:dyDescent="0.25">
      <c r="A983" s="49">
        <v>982</v>
      </c>
      <c r="C983" s="51" t="s">
        <v>37</v>
      </c>
    </row>
    <row r="984" spans="1:3" ht="15.75" x14ac:dyDescent="0.25">
      <c r="A984" s="49">
        <v>983</v>
      </c>
      <c r="C984" s="51" t="s">
        <v>37</v>
      </c>
    </row>
    <row r="985" spans="1:3" ht="15.75" x14ac:dyDescent="0.25">
      <c r="A985" s="49">
        <v>984</v>
      </c>
      <c r="C985" s="51" t="s">
        <v>37</v>
      </c>
    </row>
    <row r="986" spans="1:3" ht="15.75" x14ac:dyDescent="0.25">
      <c r="A986" s="49">
        <v>985</v>
      </c>
      <c r="C986" s="51" t="s">
        <v>37</v>
      </c>
    </row>
    <row r="987" spans="1:3" ht="15.75" x14ac:dyDescent="0.25">
      <c r="A987" s="49">
        <v>986</v>
      </c>
      <c r="C987" s="51" t="s">
        <v>37</v>
      </c>
    </row>
    <row r="988" spans="1:3" ht="15.75" x14ac:dyDescent="0.25">
      <c r="A988" s="49">
        <v>987</v>
      </c>
      <c r="C988" s="51" t="s">
        <v>37</v>
      </c>
    </row>
    <row r="989" spans="1:3" ht="15.75" x14ac:dyDescent="0.25">
      <c r="A989" s="49">
        <v>988</v>
      </c>
      <c r="C989" s="51" t="s">
        <v>37</v>
      </c>
    </row>
    <row r="990" spans="1:3" ht="15.75" x14ac:dyDescent="0.25">
      <c r="A990" s="49">
        <v>989</v>
      </c>
      <c r="C990" s="51" t="s">
        <v>37</v>
      </c>
    </row>
    <row r="991" spans="1:3" ht="15.75" x14ac:dyDescent="0.25">
      <c r="A991" s="49">
        <v>990</v>
      </c>
      <c r="C991" s="51" t="s">
        <v>37</v>
      </c>
    </row>
    <row r="992" spans="1:3" ht="15.75" x14ac:dyDescent="0.25">
      <c r="A992" s="49">
        <v>991</v>
      </c>
      <c r="C992" s="51" t="s">
        <v>37</v>
      </c>
    </row>
    <row r="993" spans="1:3" ht="15.75" x14ac:dyDescent="0.25">
      <c r="A993" s="49">
        <v>992</v>
      </c>
      <c r="C993" s="51" t="s">
        <v>37</v>
      </c>
    </row>
    <row r="994" spans="1:3" ht="15.75" x14ac:dyDescent="0.25">
      <c r="A994" s="49">
        <v>993</v>
      </c>
      <c r="C994" s="51" t="s">
        <v>37</v>
      </c>
    </row>
    <row r="995" spans="1:3" ht="15.75" x14ac:dyDescent="0.25">
      <c r="A995" s="49">
        <v>994</v>
      </c>
      <c r="C995" s="51" t="s">
        <v>37</v>
      </c>
    </row>
    <row r="996" spans="1:3" ht="15.75" x14ac:dyDescent="0.25">
      <c r="A996" s="49">
        <v>995</v>
      </c>
      <c r="C996" s="51" t="s">
        <v>37</v>
      </c>
    </row>
    <row r="997" spans="1:3" ht="15.75" x14ac:dyDescent="0.25">
      <c r="A997" s="49">
        <v>996</v>
      </c>
      <c r="C997" s="51" t="s">
        <v>37</v>
      </c>
    </row>
    <row r="998" spans="1:3" ht="15.75" x14ac:dyDescent="0.25">
      <c r="A998" s="49">
        <v>997</v>
      </c>
      <c r="C998" s="51" t="s">
        <v>37</v>
      </c>
    </row>
    <row r="999" spans="1:3" ht="15.75" x14ac:dyDescent="0.25">
      <c r="A999" s="49">
        <v>998</v>
      </c>
      <c r="C999" s="51" t="s">
        <v>37</v>
      </c>
    </row>
    <row r="1000" spans="1:3" ht="15.75" x14ac:dyDescent="0.25">
      <c r="A1000" s="49">
        <v>999</v>
      </c>
      <c r="C1000" s="51" t="s">
        <v>37</v>
      </c>
    </row>
    <row r="1001" spans="1:3" ht="15.75" x14ac:dyDescent="0.25">
      <c r="A1001" s="49">
        <v>1000</v>
      </c>
      <c r="C1001" s="51" t="s">
        <v>37</v>
      </c>
    </row>
    <row r="1002" spans="1:3" ht="15.75" x14ac:dyDescent="0.25">
      <c r="A1002" s="49">
        <v>1001</v>
      </c>
      <c r="C1002" s="51" t="s">
        <v>37</v>
      </c>
    </row>
    <row r="1003" spans="1:3" ht="15.75" x14ac:dyDescent="0.25">
      <c r="A1003" s="49">
        <v>1002</v>
      </c>
      <c r="C1003" s="51" t="s">
        <v>37</v>
      </c>
    </row>
    <row r="1004" spans="1:3" ht="15.75" x14ac:dyDescent="0.25">
      <c r="A1004" s="49">
        <v>1003</v>
      </c>
      <c r="C1004" s="51" t="s">
        <v>37</v>
      </c>
    </row>
    <row r="1005" spans="1:3" ht="15.75" x14ac:dyDescent="0.25">
      <c r="A1005" s="49">
        <v>1004</v>
      </c>
      <c r="C1005" s="51" t="s">
        <v>37</v>
      </c>
    </row>
    <row r="1006" spans="1:3" ht="15.75" x14ac:dyDescent="0.25">
      <c r="A1006" s="49">
        <v>1005</v>
      </c>
      <c r="C1006" s="51" t="s">
        <v>37</v>
      </c>
    </row>
    <row r="1007" spans="1:3" ht="15.75" x14ac:dyDescent="0.25">
      <c r="A1007" s="49">
        <v>1006</v>
      </c>
      <c r="C1007" s="51" t="s">
        <v>37</v>
      </c>
    </row>
    <row r="1008" spans="1:3" ht="15.75" x14ac:dyDescent="0.25">
      <c r="A1008" s="49">
        <v>1007</v>
      </c>
      <c r="C1008" s="51" t="s">
        <v>37</v>
      </c>
    </row>
    <row r="1009" spans="1:3" ht="15.75" x14ac:dyDescent="0.25">
      <c r="A1009" s="49">
        <v>1008</v>
      </c>
      <c r="C1009" s="51" t="s">
        <v>37</v>
      </c>
    </row>
    <row r="1010" spans="1:3" ht="15.75" x14ac:dyDescent="0.25">
      <c r="A1010" s="49">
        <v>1009</v>
      </c>
      <c r="C1010" s="51" t="s">
        <v>37</v>
      </c>
    </row>
    <row r="1011" spans="1:3" ht="15.75" x14ac:dyDescent="0.25">
      <c r="A1011" s="49">
        <v>1010</v>
      </c>
      <c r="C1011" s="51" t="s">
        <v>37</v>
      </c>
    </row>
    <row r="1012" spans="1:3" ht="15.75" x14ac:dyDescent="0.25">
      <c r="A1012" s="49">
        <v>1011</v>
      </c>
      <c r="C1012" s="51" t="s">
        <v>37</v>
      </c>
    </row>
    <row r="1013" spans="1:3" ht="15.75" x14ac:dyDescent="0.25">
      <c r="A1013" s="49">
        <v>1012</v>
      </c>
      <c r="C1013" s="51" t="s">
        <v>37</v>
      </c>
    </row>
    <row r="1014" spans="1:3" ht="15.75" x14ac:dyDescent="0.25">
      <c r="A1014" s="49">
        <v>1013</v>
      </c>
      <c r="C1014" s="51" t="s">
        <v>37</v>
      </c>
    </row>
    <row r="1015" spans="1:3" ht="15.75" x14ac:dyDescent="0.25">
      <c r="A1015" s="49">
        <v>1014</v>
      </c>
      <c r="C1015" s="51" t="s">
        <v>37</v>
      </c>
    </row>
    <row r="1016" spans="1:3" ht="15.75" x14ac:dyDescent="0.25">
      <c r="A1016" s="49">
        <v>1015</v>
      </c>
      <c r="C1016" s="51" t="s">
        <v>37</v>
      </c>
    </row>
    <row r="1017" spans="1:3" ht="15.75" x14ac:dyDescent="0.25">
      <c r="A1017" s="49">
        <v>1016</v>
      </c>
      <c r="C1017" s="51" t="s">
        <v>37</v>
      </c>
    </row>
    <row r="1018" spans="1:3" ht="15.75" x14ac:dyDescent="0.25">
      <c r="A1018" s="49">
        <v>1017</v>
      </c>
      <c r="C1018" s="51" t="s">
        <v>37</v>
      </c>
    </row>
    <row r="1019" spans="1:3" ht="15.75" x14ac:dyDescent="0.25">
      <c r="A1019" s="49">
        <v>1018</v>
      </c>
      <c r="C1019" s="51" t="s">
        <v>37</v>
      </c>
    </row>
    <row r="1020" spans="1:3" ht="15.75" x14ac:dyDescent="0.25">
      <c r="A1020" s="49">
        <v>1019</v>
      </c>
      <c r="C1020" s="51" t="s">
        <v>37</v>
      </c>
    </row>
    <row r="1021" spans="1:3" ht="15.75" x14ac:dyDescent="0.25">
      <c r="A1021" s="49">
        <v>1020</v>
      </c>
      <c r="C1021" s="51" t="s">
        <v>37</v>
      </c>
    </row>
    <row r="1022" spans="1:3" ht="15.75" x14ac:dyDescent="0.25">
      <c r="A1022" s="49">
        <v>1021</v>
      </c>
      <c r="C1022" s="51" t="s">
        <v>37</v>
      </c>
    </row>
    <row r="1023" spans="1:3" ht="15.75" x14ac:dyDescent="0.25">
      <c r="A1023" s="49">
        <v>1022</v>
      </c>
      <c r="C1023" s="51" t="s">
        <v>37</v>
      </c>
    </row>
    <row r="1024" spans="1:3" ht="15.75" x14ac:dyDescent="0.25">
      <c r="A1024" s="49">
        <v>1023</v>
      </c>
      <c r="C1024" s="51" t="s">
        <v>37</v>
      </c>
    </row>
    <row r="1025" spans="1:3" ht="15.75" x14ac:dyDescent="0.25">
      <c r="A1025" s="49">
        <v>1024</v>
      </c>
      <c r="C1025" s="51" t="s">
        <v>37</v>
      </c>
    </row>
    <row r="1026" spans="1:3" ht="15.75" x14ac:dyDescent="0.25">
      <c r="A1026" s="49">
        <v>1025</v>
      </c>
      <c r="C1026" s="51" t="s">
        <v>37</v>
      </c>
    </row>
    <row r="1027" spans="1:3" ht="15.75" x14ac:dyDescent="0.25">
      <c r="A1027" s="49">
        <v>1026</v>
      </c>
      <c r="C1027" s="51" t="s">
        <v>37</v>
      </c>
    </row>
    <row r="1028" spans="1:3" ht="15.75" x14ac:dyDescent="0.25">
      <c r="A1028" s="49">
        <v>1027</v>
      </c>
      <c r="C1028" s="51" t="s">
        <v>37</v>
      </c>
    </row>
  </sheetData>
  <sheetProtection selectLockedCells="1"/>
  <phoneticPr fontId="6" type="noConversion"/>
  <conditionalFormatting sqref="A2:M501 A502:A1028 C502:C1028">
    <cfRule type="expression" dxfId="0" priority="1">
      <formula>$C2="SIM"</formula>
    </cfRule>
  </conditionalFormatting>
  <dataValidations count="1">
    <dataValidation type="list" allowBlank="1" showInputMessage="1" showErrorMessage="1" sqref="C1:C1048576" xr:uid="{BC2F0E16-6415-4E5B-A70F-47EB4BF8A24A}">
      <formula1>"SIM,NÃO"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03661F-727A-433E-81D0-1CD5DC3161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CAIXA</vt:lpstr>
      <vt:lpstr>CHECKOUT</vt:lpstr>
      <vt:lpstr>CONTROLE DE ESTOQUE</vt:lpstr>
      <vt:lpstr>PEDIDOS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Jader Filho</dc:creator>
  <cp:keywords/>
  <dc:description/>
  <cp:lastModifiedBy>Jader Filho</cp:lastModifiedBy>
  <cp:revision/>
  <dcterms:created xsi:type="dcterms:W3CDTF">2023-06-11T09:20:04Z</dcterms:created>
  <dcterms:modified xsi:type="dcterms:W3CDTF">2024-04-25T23:30:51Z</dcterms:modified>
  <cp:category/>
  <cp:contentStatus/>
</cp:coreProperties>
</file>